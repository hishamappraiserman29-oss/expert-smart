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Lenovo\Desktop\expert_smart - Copy\reports\"/>
    </mc:Choice>
  </mc:AlternateContent>
  <xr:revisionPtr revIDLastSave="0" documentId="8_{472991FE-4906-4115-9617-C8E94A6B5403}" xr6:coauthVersionLast="47" xr6:coauthVersionMax="47" xr10:uidLastSave="{00000000-0000-0000-0000-000000000000}"/>
  <bookViews>
    <workbookView xWindow="-108" yWindow="-108" windowWidth="23256" windowHeight="12456" xr2:uid="{00000000-000D-0000-FFFF-FFFF00000000}"/>
  </bookViews>
  <sheets>
    <sheet name="الافتراضات والمدخلات" sheetId="1" r:id="rId1"/>
    <sheet name="التقرير" sheetId="2" r:id="rId2"/>
    <sheet name="مقارنات البيوع" sheetId="3" r:id="rId3"/>
    <sheet name="المقارنات الإيجارية" sheetId="4" r:id="rId4"/>
    <sheet name="طريقة التكلفة" sheetId="5" r:id="rId5"/>
    <sheet name="رأسمالة الدخل" sheetId="6" r:id="rId6"/>
    <sheet name="التحليل المكاني" sheetId="7" r:id="rId7"/>
    <sheet name="الانحدار المتعدد" sheetId="8" r:id="rId8"/>
    <sheet name="الخيارات الحقيقية" sheetId="9" r:id="rId9"/>
    <sheet name="توفيق النتائج" sheetId="10" r:id="rId10"/>
    <sheet name="محددات التقييم" sheetId="11" r:id="rId11"/>
    <sheet name="شهادة" sheetId="12" r:id="rId12"/>
    <sheet name="لوحة القيادة التنفيذية" sheetId="13" r:id="rId13"/>
    <sheet name="مصادر البيانات والمنهجية" sheetId="14" r:id="rId14"/>
    <sheet name="مصفوفة تعديل الأرض" sheetId="15" r:id="rId1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 i="15" l="1"/>
  <c r="E13" i="15" s="1"/>
  <c r="E15" i="15" s="1"/>
  <c r="D12" i="15"/>
  <c r="D13" i="15" s="1"/>
  <c r="D15" i="15" s="1"/>
  <c r="C12" i="15"/>
  <c r="C13" i="15" s="1"/>
  <c r="C15" i="15" s="1"/>
  <c r="B12" i="15"/>
  <c r="B13" i="15" s="1"/>
  <c r="B15" i="15" s="1"/>
  <c r="B17" i="15" s="1"/>
  <c r="B37" i="5"/>
  <c r="B35" i="5"/>
  <c r="B29" i="5"/>
  <c r="C25" i="5"/>
  <c r="D25" i="5" s="1"/>
  <c r="B25" i="5"/>
  <c r="D24" i="5"/>
  <c r="C24" i="5"/>
  <c r="B24" i="5"/>
  <c r="C23" i="5"/>
  <c r="B23" i="5"/>
  <c r="D23" i="5" s="1"/>
  <c r="C22" i="5"/>
  <c r="B22" i="5"/>
  <c r="D22" i="5" s="1"/>
  <c r="C21" i="5"/>
  <c r="D21" i="5" s="1"/>
  <c r="B21" i="5"/>
  <c r="C20" i="5"/>
  <c r="B20" i="5"/>
  <c r="D20" i="5" s="1"/>
  <c r="D26" i="5" s="1"/>
  <c r="B52" i="5" s="1"/>
  <c r="D16" i="5"/>
  <c r="C16" i="5"/>
  <c r="B16" i="5"/>
  <c r="C15" i="5"/>
  <c r="B15" i="5"/>
  <c r="D15" i="5" s="1"/>
  <c r="C14" i="5"/>
  <c r="B14" i="5"/>
  <c r="D14" i="5" s="1"/>
  <c r="C13" i="5"/>
  <c r="D13" i="5" s="1"/>
  <c r="D17" i="5" s="1"/>
  <c r="B13" i="5"/>
  <c r="C9" i="5"/>
  <c r="B6" i="5"/>
  <c r="B8" i="5" s="1"/>
  <c r="D10" i="5" s="1"/>
  <c r="C34" i="1"/>
  <c r="B34" i="1"/>
  <c r="C33" i="1"/>
  <c r="B33" i="1"/>
  <c r="C32" i="1"/>
  <c r="B32" i="1"/>
  <c r="B31" i="1"/>
  <c r="C30" i="1"/>
  <c r="B30" i="1"/>
  <c r="D44" i="5" l="1"/>
  <c r="D29" i="5"/>
  <c r="B51" i="5"/>
  <c r="D31" i="5" l="1"/>
  <c r="D30" i="5"/>
  <c r="B53" i="5" l="1"/>
  <c r="D32" i="5"/>
  <c r="D39" i="5" l="1"/>
  <c r="D38" i="5"/>
  <c r="D40" i="5" s="1"/>
  <c r="D41" i="5" s="1"/>
  <c r="D45" i="5" l="1"/>
  <c r="D46" i="5"/>
  <c r="D47" i="5" s="1"/>
</calcChain>
</file>

<file path=xl/sharedStrings.xml><?xml version="1.0" encoding="utf-8"?>
<sst xmlns="http://schemas.openxmlformats.org/spreadsheetml/2006/main" count="582" uniqueCount="457">
  <si>
    <t>ورقة الافتراضات والمدخلات — المصدر الموحد لكل الحسابات</t>
  </si>
  <si>
    <t>الخلايا ذات الخط الأزرق قابلة للتعديل — تتحدث كل الأوراق تلقائياً</t>
  </si>
  <si>
    <t>البيان</t>
  </si>
  <si>
    <t>القيمة</t>
  </si>
  <si>
    <t>ملاحظة</t>
  </si>
  <si>
    <t>المساحة الإجمالية (م²)</t>
  </si>
  <si>
    <t>م² — ادخل المساحة الصافية</t>
  </si>
  <si>
    <t>سعر المتر المرجعي (EGP/م²)</t>
  </si>
  <si>
    <t>من مقارنات السوق</t>
  </si>
  <si>
    <t>الإيجار السنوي (EGP/م²/سنة)</t>
  </si>
  <si>
    <t>صافي الإيجار السوقي السنوي لكل متر</t>
  </si>
  <si>
    <t>معدل الرسملة (Cap Rate)</t>
  </si>
  <si>
    <t>للوحدات السكنية 8%، التجارية 9-10%</t>
  </si>
  <si>
    <t>عمر المبنى (سنة)</t>
  </si>
  <si>
    <t>من تاريخ الإنشاء حتى الآن</t>
  </si>
  <si>
    <t>رقم الدور</t>
  </si>
  <si>
    <t>الدور الأرضي = 0</t>
  </si>
  <si>
    <t>سنة البناء</t>
  </si>
  <si>
    <t>السنة الميلادية لإنشاء المبنى</t>
  </si>
  <si>
    <t>معدل الخصم WACC (%)</t>
  </si>
  <si>
    <t>Build-up: Risk-Free + Market + Liquidity</t>
  </si>
  <si>
    <t>معدل النمو التوقعي (%/سنة)</t>
  </si>
  <si>
    <t>Prophet forecast للسوق المحلي</t>
  </si>
  <si>
    <t>اسم العميل</t>
  </si>
  <si>
    <t>عميل</t>
  </si>
  <si>
    <t>نوع العقار</t>
  </si>
  <si>
    <t>شقة سكنية</t>
  </si>
  <si>
    <t>الموقع</t>
  </si>
  <si>
    <t>القاهرة</t>
  </si>
  <si>
    <t>بنود تكلفة البناء التفصيلية (EGP/م²) — قابلة للتعديل</t>
  </si>
  <si>
    <t>معدل الحفر والتأسيس (EGP/م²)</t>
  </si>
  <si>
    <t>أعمال ترابية وخرسانة عادية</t>
  </si>
  <si>
    <t>معدل الخرسانة المسلحة — أعمدة وجسور (EGP/م²)</t>
  </si>
  <si>
    <t>خرسانة مسلحة إنشائية</t>
  </si>
  <si>
    <t>معدل حديد التسليح (EGP/م²)</t>
  </si>
  <si>
    <t>تسليح كيلو/م² حسب التصميم</t>
  </si>
  <si>
    <t>معدل أعمال البناء والطوب (EGP/م²)</t>
  </si>
  <si>
    <t>حوائط وبياض خشن</t>
  </si>
  <si>
    <t>معدل البياض والجبس (EGP/م²)</t>
  </si>
  <si>
    <t>ملس جبسي وبياض نهائي</t>
  </si>
  <si>
    <t>معدل الأرضيات والتشطيبات (EGP/م²)</t>
  </si>
  <si>
    <t>بورسلان أو رخام</t>
  </si>
  <si>
    <t>معدل أعمال السباكة (EGP/م²)</t>
  </si>
  <si>
    <t>صرف صحي وتغذية</t>
  </si>
  <si>
    <t>معدل أعمال الكهرباء والإنارة (EGP/م²)</t>
  </si>
  <si>
    <t>كهرباء وتأريض وإنارة</t>
  </si>
  <si>
    <t>معدل الدهانات والأعمال النهائية (EGP/م²)</t>
  </si>
  <si>
    <t>طلاء داخلي وخارجي</t>
  </si>
  <si>
    <t>معدل الواجهات والكسوة الخارجية (EGP/م²)</t>
  </si>
  <si>
    <t>كسوة حجر أو كومبوزيت</t>
  </si>
  <si>
    <t>نسبة مصروفات الطوارئ والتكاليف غير المباشرة</t>
  </si>
  <si>
    <t>5% من مجموع البنود المباشرة</t>
  </si>
  <si>
    <t>القيم المحسوبة (تُحدَّث تلقائياً)</t>
  </si>
  <si>
    <t>القيمة السوقية الإجمالية (EGP)</t>
  </si>
  <si>
    <t>صافي الدخل التشغيلي NOI (EGP)</t>
  </si>
  <si>
    <t>قيمة رأسمالة الدخل (EGP)</t>
  </si>
  <si>
    <t>تكلفة البناء الإجمالية — مُحدَّثة (EGP)</t>
  </si>
  <si>
    <t>الإهلاك المتراكم — مُحدَّث (EGP)</t>
  </si>
  <si>
    <t>تقرير تقييم عقاري رسمي</t>
  </si>
  <si>
    <t>Expert_Smart  |  خبير التقييم: هشام محمد محمد المهدى  |  رقم القيد: 29  |  الهيئة العامة للرقابة المالية</t>
  </si>
  <si>
    <t>بيانات المُقيِّم والتقرير</t>
  </si>
  <si>
    <t>اسم المُقيِّم</t>
  </si>
  <si>
    <t>هشام محمد محمد المهدى</t>
  </si>
  <si>
    <t>رقم القيد</t>
  </si>
  <si>
    <t>29</t>
  </si>
  <si>
    <t>رقم التقرير</t>
  </si>
  <si>
    <t>VAL-20260412-1153</t>
  </si>
  <si>
    <t>تاريخ التقييم</t>
  </si>
  <si>
    <t>2026/04/12</t>
  </si>
  <si>
    <t>الهيئة المرخصة</t>
  </si>
  <si>
    <t>الهيئة العامة للرقابة المالية</t>
  </si>
  <si>
    <t>التقييم ساري حتى</t>
  </si>
  <si>
    <t>البريد الإلكتروني</t>
  </si>
  <si>
    <t>appraiserman29@gmail.com</t>
  </si>
  <si>
    <t>بيانات العقار موضوع التقييم</t>
  </si>
  <si>
    <t>اسم العميل / المالك</t>
  </si>
  <si>
    <t>المحافظة / المنطقة</t>
  </si>
  <si>
    <t>الدور</t>
  </si>
  <si>
    <t>عدد الغرف</t>
  </si>
  <si>
    <t>السعر المرجعي (EGP/م²)</t>
  </si>
  <si>
    <t>الإيجار السنوي (EGP/م²)</t>
  </si>
  <si>
    <t>معدل الرسملة</t>
  </si>
  <si>
    <t>دراسة السوق بالمنطقة</t>
  </si>
  <si>
    <t>أعلى سعر بالمنطقة (EGP/م²)</t>
  </si>
  <si>
    <t>متوسط سعر المنطقة (EGP/م²)</t>
  </si>
  <si>
    <t>أقل سعر بالمنطقة (EGP/م²)</t>
  </si>
  <si>
    <t>أعلى وأفضل استخدام (HBU)</t>
  </si>
  <si>
    <t>العقار موضوع التقييم عبارة عن شقة سكنية تقع في القاهرة. بناءً على الدراسة الميدانية وتحليل السوق، يُعتبر الاستخدام الحالي هو أعلى وأفضل استخدام للعقار، إذ يحقق أقصى قدر من العائد المادي ويتوافق مع الاستخدامات السائدة في المنطقة المحيطة.</t>
  </si>
  <si>
    <t>القيمة بطريقة Kriging المكاني</t>
  </si>
  <si>
    <t>رقم الوحدة</t>
  </si>
  <si>
    <t>القيمة (EGP/م²)</t>
  </si>
  <si>
    <t>y (خط العرض)</t>
  </si>
  <si>
    <t>x (خط الطول)</t>
  </si>
  <si>
    <t>203101</t>
  </si>
  <si>
    <t>203102</t>
  </si>
  <si>
    <t>203201</t>
  </si>
  <si>
    <t>204301</t>
  </si>
  <si>
    <t>204401</t>
  </si>
  <si>
    <t>508-85</t>
  </si>
  <si>
    <t>509-82</t>
  </si>
  <si>
    <t>E1-13</t>
  </si>
  <si>
    <t>E1-53</t>
  </si>
  <si>
    <t>780-511</t>
  </si>
  <si>
    <t>782-110</t>
  </si>
  <si>
    <t>785-110</t>
  </si>
  <si>
    <t>203406</t>
  </si>
  <si>
    <t>204101</t>
  </si>
  <si>
    <t>D6-53</t>
  </si>
  <si>
    <t>القيمة المستنتجة بـ Ordinary Kriging (pykrige)</t>
  </si>
  <si>
    <t>القيمة بطريقة تحليل الانحدار المتعدد</t>
  </si>
  <si>
    <t>Regression Statistics</t>
  </si>
  <si>
    <t>ANOVA</t>
  </si>
  <si>
    <t>Multiple R</t>
  </si>
  <si>
    <t>df</t>
  </si>
  <si>
    <t>Observations</t>
  </si>
  <si>
    <t>R Square</t>
  </si>
  <si>
    <t>Adjusted R²</t>
  </si>
  <si>
    <t>المتغير</t>
  </si>
  <si>
    <t>المعامل (Coeff)</t>
  </si>
  <si>
    <t>P-value</t>
  </si>
  <si>
    <t>إجمالي المساحة</t>
  </si>
  <si>
    <t>القيمة المتنبأ بها (EGP/م²)</t>
  </si>
  <si>
    <t>مصدر البيانات وإخلاء المسئولية</t>
  </si>
  <si>
    <t>يقوم الخبير بتحديث البيانات من خلال عمليات المسح الميداني والاستقصاء الفعلي. المعلومات الواردة في هذا التقرير سرية ولا يجوز نشرها أو إعادة توزيعها. هذا الرأي في القيمة فقط لأغراض المعلومات ولا يُعدّ ضماناً لأي غرض. قيمة العقار المحددة تسري لمدة ثلاثة أشهر من تاريخ التقرير.</t>
  </si>
  <si>
    <t>خبير التقييم</t>
  </si>
  <si>
    <t>التوقيع: .........</t>
  </si>
  <si>
    <t>مصفوفة مقارنة البيوع السابقة</t>
  </si>
  <si>
    <t>أسلوب المقارنة بالبيوع السابقة — IVS 105 | 2026/04/12</t>
  </si>
  <si>
    <t>البند</t>
  </si>
  <si>
    <t>موضوع التقييم</t>
  </si>
  <si>
    <t>مقارن رقم (1)
204401</t>
  </si>
  <si>
    <t>مقارن رقم (2)
204301</t>
  </si>
  <si>
    <t>مقارن رقم (3)
204101</t>
  </si>
  <si>
    <t>مقارن رقم (4)
203406</t>
  </si>
  <si>
    <t>مقارن رقم (5)
203201</t>
  </si>
  <si>
    <t>-</t>
  </si>
  <si>
    <t>سعر المتر الأساسي (EGP/م²)</t>
  </si>
  <si>
    <t>ضبط الوقت والسوق</t>
  </si>
  <si>
    <t>ضبط الموقع</t>
  </si>
  <si>
    <t>ضبط المساحة</t>
  </si>
  <si>
    <t>ضبط الدور</t>
  </si>
  <si>
    <t>ضبط التشطيبات</t>
  </si>
  <si>
    <t>إجمالي نسبة التعديل</t>
  </si>
  <si>
    <t>سعر المتر بعد التعديل (EGP/م²)</t>
  </si>
  <si>
    <t>خصم التفاوض (-5%)</t>
  </si>
  <si>
    <t>-0.05</t>
  </si>
  <si>
    <t>سعر المتر الصافي (EGP/م²)</t>
  </si>
  <si>
    <t>متوسط سعر المتر المعدل (EGP/م²)</t>
  </si>
  <si>
    <t>القيمة الإجمالية بأسلوب البيوع (مساحة 200 م²)</t>
  </si>
  <si>
    <t>شرح أسلوب المقارنة بالبيوع السابقة</t>
  </si>
  <si>
    <t>يُعدّ أسلوب المقارنة بالبيوع السابقة من أكثر أساليب التقييم موثوقية وفق معايير IVS 105. يعتمد الأسلوب على مقارنة العقار موضوع التقييم بعقارات مماثلة بيعت فعلياً في السوق، مع إجراء تعديلات نسبية (+/-) للتفاوتات في الموقع، والمساحة، والدور، والتشطيبات، وظروف السوق. تُطبَّق أيضاً نسبة خصم تفاوض (5%) للوصول إلى القيمة الصافية. النتيجة النهائية هي متوسط أسعار المقارنات بعد كل التعديلات.</t>
  </si>
  <si>
    <t>مقارنات الإيجار — أساس أسلوب الدخل</t>
  </si>
  <si>
    <t>IVS 105 — Rental Comparables | 2026/04/12</t>
  </si>
  <si>
    <t>مقارن إيجاري (1)
R-001</t>
  </si>
  <si>
    <t>مقارن إيجاري (2)
R-002</t>
  </si>
  <si>
    <t>مقارن إيجاري (3)
R-003</t>
  </si>
  <si>
    <t>مقارن إيجاري (4)
R-004</t>
  </si>
  <si>
    <t>مقارن إيجاري (5)
R-005</t>
  </si>
  <si>
    <t>الموقع / المنطقة</t>
  </si>
  <si>
    <t>المعادي</t>
  </si>
  <si>
    <t>المساحة (م²)</t>
  </si>
  <si>
    <t>متوسط الإيجار السنوي للمقارنات (EGP/م²)</t>
  </si>
  <si>
    <t>أسلوب التكلفة — التكلفة الاستبدالية المستهلكة بالتفصيل (Granular DRC)</t>
  </si>
  <si>
    <t>IVS 105 — Itemized RCN: Structure | Finishing | Soft Costs | Depreciation | 2026/04/12</t>
  </si>
  <si>
    <t>البند / وصف البند</t>
  </si>
  <si>
    <t>معدل الوحدة (EGP/م²)</t>
  </si>
  <si>
    <t>الكمية (م²)</t>
  </si>
  <si>
    <t>الإجمالي (EGP)</t>
  </si>
  <si>
    <t>القسم الأول: تقدير قيمة الأرض — طريقة الاستخلاص</t>
  </si>
  <si>
    <t>سعر المتر السوقي المرجعي (EGP/م²)</t>
  </si>
  <si>
    <t>نسبة قيمة الأرض من الإجمالي (30%)</t>
  </si>
  <si>
    <t>سعر متر الأرض المستخلص (EGP/م²)</t>
  </si>
  <si>
    <t>مساحة الأرض (م²)</t>
  </si>
  <si>
    <t>قيمة الأرض الإجمالية (1)</t>
  </si>
  <si>
    <t>القسم الثاني: أعمال الهيكل الإنشائي (Structure / Skeleton Works)</t>
  </si>
  <si>
    <t>أعمال الحفر والتأسيس</t>
  </si>
  <si>
    <t>الخرسانة المسلحة — أعمدة وجسور وبلاطات</t>
  </si>
  <si>
    <t>حديد التسليح</t>
  </si>
  <si>
    <t>أعمال البناء والطوب والحوائط</t>
  </si>
  <si>
    <t>إجمالي أعمال الهيكل الإنشائي  (أ)</t>
  </si>
  <si>
    <t>القسم الثالث: أعمال التشطيبات الداخلية والخارجية (Finishing Works)</t>
  </si>
  <si>
    <t>أعمال البياض والجبس والملس النهائي</t>
  </si>
  <si>
    <t>الأرضيات والتشطيبات (بورسلان / رخام)</t>
  </si>
  <si>
    <t>أعمال السباكة وشبكات الصرف والمياه</t>
  </si>
  <si>
    <t>أعمال الكهرباء والإنارة والتأريض</t>
  </si>
  <si>
    <t>الدهانات والأعمال النهائية</t>
  </si>
  <si>
    <t>الواجهات والكسوة الخارجية</t>
  </si>
  <si>
    <t>إجمالي أعمال التشطيبات  (ب)</t>
  </si>
  <si>
    <t>القسم الرابع: التكاليف غير المباشرة والطوارئ (Soft Costs &amp; Overheads)</t>
  </si>
  <si>
    <t>مصروفات طوارئ وتكاليف غير مباشرة</t>
  </si>
  <si>
    <t>من الإجمالي المباشر</t>
  </si>
  <si>
    <t>ربح المقاول والمصروفات الإدارية (15%)</t>
  </si>
  <si>
    <t>من إجمالي التكلفة المباشرة</t>
  </si>
  <si>
    <t>إجمالي التكاليف غير المباشرة  (ج)</t>
  </si>
  <si>
    <t>إجمالي تكلفة الاستبدال الجديدة RCN = (أ + ب + ج)</t>
  </si>
  <si>
    <t>القسم الخامس: الإهلاك والتهالك المتراكم</t>
  </si>
  <si>
    <t>العمر الحالي للمبنى (سنة)</t>
  </si>
  <si>
    <t>العمر الاقتصادي للمبنى (سنة)</t>
  </si>
  <si>
    <t>نسبة الإهلاك الطبيعي = العمر الحالي ÷ العمر الاقتصادي</t>
  </si>
  <si>
    <t>الإهلاك الطبيعي والمادي (EGP)</t>
  </si>
  <si>
    <t>الإهلاك الوظيفي والخارجي (2%) (EGP)</t>
  </si>
  <si>
    <t>إجمالي الإهلاك المتراكم</t>
  </si>
  <si>
    <t>صافي قيمة المبنى بعد الإهلاك</t>
  </si>
  <si>
    <t>القسم السادس: إجمالي القيمة بأسلوب التكلفة (DRC)</t>
  </si>
  <si>
    <t>قيمة الأرض  (1)</t>
  </si>
  <si>
    <t>القيمة الإجمالية = قيمة الأرض + صافي قيمة المبنى</t>
  </si>
  <si>
    <t>سعر المتر بأسلوب التكلفة (EGP/م²)</t>
  </si>
  <si>
    <t>بيانات مخطط توزيع تكلفة البناء</t>
  </si>
  <si>
    <t>أعمال الهيكل الإنشائي (أ)</t>
  </si>
  <si>
    <t>أعمال التشطيبات (ب)</t>
  </si>
  <si>
    <t>التكاليف غير المباشرة (ج)</t>
  </si>
  <si>
    <t>أسلوب رأسمالة الدخل — Income Capitalization</t>
  </si>
  <si>
    <t>IVS 105 — Income Approach | 2026/04/12</t>
  </si>
  <si>
    <t>الإيجار الشهري للوحدة</t>
  </si>
  <si>
    <t>EGP / شهر</t>
  </si>
  <si>
    <t>الدخل الإيجاري السنوي الإجمالي (الإيجار × 12)</t>
  </si>
  <si>
    <t>EGP / سنة</t>
  </si>
  <si>
    <t>خسائر عدم الإشغال والمصاريف الإدارية (10%)</t>
  </si>
  <si>
    <t>صافي الدخل التشغيلي الفعال (NOI)</t>
  </si>
  <si>
    <t>العمر الاقتصادي المتبقى للمبنى (سنة)</t>
  </si>
  <si>
    <t>سنة</t>
  </si>
  <si>
    <t>معدل استرداد رأس المال = 1 / العمر المتبقى</t>
  </si>
  <si>
    <t>سنوياً</t>
  </si>
  <si>
    <t>سعر الفائدة السائد</t>
  </si>
  <si>
    <t>معدل الرسملة الكلي = الفائدة + استرداد رأس المال</t>
  </si>
  <si>
    <t>العائد على الأرض = قيمة الأرض × الفائدة</t>
  </si>
  <si>
    <t>الدخل الصافي المتاح للمبنى = NOI - عائد الأرض</t>
  </si>
  <si>
    <t>قيمة المبنى = دخل المبنى / معدل الرسملة</t>
  </si>
  <si>
    <t>EGP</t>
  </si>
  <si>
    <t>قيمة الأرض (مُضاف)</t>
  </si>
  <si>
    <t>القيمة الإجمالية بأسلوب رأسمالة الدخل</t>
  </si>
  <si>
    <t>سعر المتر بأسلوب الدخل (EGP/م²)</t>
  </si>
  <si>
    <t>شرح أسلوب رأسمالة الدخل</t>
  </si>
  <si>
    <t>يُقيّم هذا الأسلوب العقار بتحويل الدخل الإيجاري الصافي إلى قيمة رأسمالية. تُحسب القيمة بقسمة صافي الدخل التشغيلي (NOI) على معدل الرسملة الذي يشمل سعر الفائدة ومعدل استرداد رأس المال. يُستخدم هذا الأسلوب وفق IVS 105 للعقارات ذات الدخل الإيجاري الثابت.</t>
  </si>
  <si>
    <t>التحليل المكاني — Kriging / IDW</t>
  </si>
  <si>
    <t>Spatial Interpolation (pykrige) | 2026/04/12</t>
  </si>
  <si>
    <t>السعر z (EGP/م²)</t>
  </si>
  <si>
    <t>خط العرض y</t>
  </si>
  <si>
    <t>خط الطول x</t>
  </si>
  <si>
    <t>E4-12</t>
  </si>
  <si>
    <t>E5-71</t>
  </si>
  <si>
    <t>784-107</t>
  </si>
  <si>
    <t>784-403</t>
  </si>
  <si>
    <t>785-104</t>
  </si>
  <si>
    <t>نتائج الاستيفاء المكاني للعقار موضوع التقييم</t>
  </si>
  <si>
    <t>الطريقة المستخدمة</t>
  </si>
  <si>
    <t>Ordinary Kriging (pykrige)</t>
  </si>
  <si>
    <t>إحداثية x (خط الطول)</t>
  </si>
  <si>
    <t>إحداثية y (خط العرض)</t>
  </si>
  <si>
    <t>التباين (Variance)</t>
  </si>
  <si>
    <t>القيمة المُستنتجة (EGP/م²)</t>
  </si>
  <si>
    <t>القيمة الإجمالية (EGP)</t>
  </si>
  <si>
    <t>شرح التحليل المكاني (Kriging / IDW)</t>
  </si>
  <si>
    <t>Kriging هو أسلوب استيفاء إحصائي مكاني (Geostatistical Interpolation) يُقدّر قيمة العقار بناءً على توزيع الأسعار الجغرافي للعقارات المجاورة. يأخذ الأسلوب في الاعتبار التباين المكاني (Variogram) ليُنتج تقديراً بلا انحياز. عند تعذّر Kriging يُستخدم IDW (Inverse Distance Weighting) كبديل يُعطي أوزاناً عكسية مع المسافة.</t>
  </si>
  <si>
    <t>تحليل الانحدار الخطي المتعدد — OLS Regression</t>
  </si>
  <si>
    <t>Multiple Linear Regression (statsmodels OLS) | 2026/04/12</t>
  </si>
  <si>
    <t>Standard Error</t>
  </si>
  <si>
    <t>Coefficients</t>
  </si>
  <si>
    <t>Lower 95%</t>
  </si>
  <si>
    <t>Upper 95%</t>
  </si>
  <si>
    <t>Intercept (const)</t>
  </si>
  <si>
    <t>رقم الدور (NOS)</t>
  </si>
  <si>
    <t>إجمالي المساحة (TFA)</t>
  </si>
  <si>
    <t>سنة البناء (YEAR)</t>
  </si>
  <si>
    <t>تطبيق النموذج على العقار موضوع التقييم</t>
  </si>
  <si>
    <t>رقم الدور المُدخل</t>
  </si>
  <si>
    <t>المساحة المُدخلة (م²)</t>
  </si>
  <si>
    <t>سنة البناء المُدخلة</t>
  </si>
  <si>
    <t>القيمة المُتنبأ بها (EGP/م²)</t>
  </si>
  <si>
    <t>البيانات الأساسية المستخدمة في الانحدار</t>
  </si>
  <si>
    <t>#</t>
  </si>
  <si>
    <t>المساحة</t>
  </si>
  <si>
    <t>السعر (EGP/م²)</t>
  </si>
  <si>
    <t>الخيارات الحقيقية — Real Options Analysis (Black-Scholes)</t>
  </si>
  <si>
    <t>Real Options Valuation — Development Potential Assessment | 2026/04/12</t>
  </si>
  <si>
    <t>مدخلات النموذج (Model Inputs)</t>
  </si>
  <si>
    <t>S — قيمة الأصل الحالية (Current Asset Value) EGP</t>
  </si>
  <si>
    <t>K — تكلفة التطوير / سعر التنفيذ (Development Cost) EGP</t>
  </si>
  <si>
    <t>σ — معامل التذبذب السنوي (Annual Volatility)</t>
  </si>
  <si>
    <t>T — فترة الحيازة / التطوير (Time to Develop) سنوات</t>
  </si>
  <si>
    <t>r — معدل الفائدة الخالي من المخاطر (Risk-Free Rate)</t>
  </si>
  <si>
    <t>سعر متر المبنى المرجعي (Base Price EGP/م²)</t>
  </si>
  <si>
    <t>تكلفة متر التطوير (Development Cost/م²)</t>
  </si>
  <si>
    <t>حسابات نموذج Black-Scholes</t>
  </si>
  <si>
    <t>d1 = [ln(S/K) + (r + σ²/2)×T] / (σ√T)</t>
  </si>
  <si>
    <t>d2 = d1 − σ√T</t>
  </si>
  <si>
    <t>N(d1) — الدالة التراكمية الطبيعية لـ d1</t>
  </si>
  <si>
    <t>N(d2) — الدالة التراكمية الطبيعية لـ d2</t>
  </si>
  <si>
    <t>قيمة خيار التطوير = S×N(d1) − K×e^(-rT)×N(d2)</t>
  </si>
  <si>
    <t>النتائج — Real Options Results</t>
  </si>
  <si>
    <t>القيمة الجوهرية الحالية (Intrinsic Value) EGP</t>
  </si>
  <si>
    <t>قيمة الخيار (Option Premium) EGP</t>
  </si>
  <si>
    <t>القيمة الكلية مع الخيار (Total Value) EGP</t>
  </si>
  <si>
    <t>سعر المتر بأسلوب الخيارات الحقيقية (EGP/م²)</t>
  </si>
  <si>
    <t>شرح أسلوب الخيارات الحقيقية</t>
  </si>
  <si>
    <t>يُقيّم هذا الأسلوب قيمة المرونة في قرار التطوير أو الاحتفاظ بالعقار. يُطبّق نموذج Black-Scholes المستخدم في تسعير الخيارات المالية على الأصول العقارية: S (قيمة الأصل الحالية)، K (تكلفة التطوير كـ'سعر تنفيذ')، σ (تذبذب سوق العقارات)، T (أفق الاستثمار)، r (معدل الفائدة الخالي من المخاطر). القيمة النهائية = القيمة الجوهرية + علاوة الخيار، مما يعكس إمكانية التطوير المستقبلية للعقار.</t>
  </si>
  <si>
    <t>توفيق النتائج — Reconciliation of Valuation Methods</t>
  </si>
  <si>
    <t>IVS 105 — Weighted Reconciliation Matrix | 2026/04/12</t>
  </si>
  <si>
    <t>أسلوب التقييم</t>
  </si>
  <si>
    <t>سعر المتر (EGP/م²)</t>
  </si>
  <si>
    <t>الوزن النسبي</t>
  </si>
  <si>
    <t>القيمة الموزونة (EGP/م²)</t>
  </si>
  <si>
    <t>أسلوب مقارنة البيوع السابقة</t>
  </si>
  <si>
    <t>أسلوب حساب التكلفة (DRC)</t>
  </si>
  <si>
    <t>أسلوب رأسمالة الدخل</t>
  </si>
  <si>
    <t>التحليل المكاني (Kriging/IDW)</t>
  </si>
  <si>
    <t>الانحدار الخطي المتعدد (OLS)</t>
  </si>
  <si>
    <t>الخيارات الحقيقية (B-S)</t>
  </si>
  <si>
    <t>مجموع الأوزان</t>
  </si>
  <si>
    <t>القيمة السوقية النهائية الموزونة (EGP/م²)</t>
  </si>
  <si>
    <t>القيمة السوقية الإجمالية للعقار (200 م²)</t>
  </si>
  <si>
    <t>تحليل توفيق النتائج ومبرراته</t>
  </si>
  <si>
    <t>بدراسة طرق التقييم الست وفق درجة موثوقية كل منها وملاءمتها لطبيعة العقار موضوع التقييم (شقة سكنية — القاهرة)، تم توزيع الأوزان كالتالي:
• مقارنة البيوع (30%): الأكثر موثوقية لتوافر بيانات كافية في السوق.
• التكلفة (20%): مناسب كأسلوب تحقق للعقارات السكنية.
• رأسمالة الدخل (15%): يعكس إمكانية الاستثمار الإيجاري.
• Kriging المكاني (15%): يُدمج البُعد الجغرافي في التقييم.
• الانحدار المتعدد (12%): نموذج إحصائي متعدد المتغيرات.
• الخيارات الحقيقية (8%): يُقيّم إمكانية التطوير المستقبلية.
القيمة السوقية العادلة النهائية = 17,621.79 EGP/م² | الإجمالي = 3,524,357.09 EGP</t>
  </si>
  <si>
    <t>_ القيمة السوقية المطلوب تحديدها هى الثمن الأكثر احتمالاً في سوق تنافسي ومفتوح وفق معايير IVS.</t>
  </si>
  <si>
    <t>_ الغرض من إعداد التقرير هو تقدير القيمة السوقية العادلة للعقار.</t>
  </si>
  <si>
    <t>_ لا يوجد نزاعات ملكية على العقار ولا يوجد أي رهن أو التزامات خفية على حسب إقرار المالك.</t>
  </si>
  <si>
    <t>_ الشروط المحددة للملكية وذلك على مسئولية المالك الذي أقر بصحتها.</t>
  </si>
  <si>
    <t>_ تمت معاينة العقار من الداخل والخارج ولا يوجد عيوب خفية ظاهرة تؤثر على القيمة.</t>
  </si>
  <si>
    <t>_ مستندات الملكية المقدمة من المالك على مسئوليته.</t>
  </si>
  <si>
    <t>_ قيمة العقار المحددة تسري للمدة المذكورة في التقرير وهي ثلاثة أشهر من تاريخ التقرير.</t>
  </si>
  <si>
    <t>_ التقرير هو ملكية خاصة للعميل الموجه إليه التقرير ولا يجوز نشره أو الإفصاح عن محتوياته.</t>
  </si>
  <si>
    <t>_ تم تقييم العقار آخذاً في الاعتبار فرضية أعلى وأفضل استخدام.</t>
  </si>
  <si>
    <t>_ يُفترض عدم وجود أي ظروف خفية بالعقار أو في التربة تؤثر على القيمة.</t>
  </si>
  <si>
    <t>_ أية تعامل مع هذا التقرير يجب أن يكون كاملاً وليس جزئياً.</t>
  </si>
  <si>
    <t>_ الملاحق الخاصة بالرسومات والصور والجداول مع هذا التقرير جزء لا يتجزأ منه.</t>
  </si>
  <si>
    <t>_ لا يحق نشر أو طبع أو نسخ كل أو بعض هذا التقرير بدون إذن كتابي من الخبير.</t>
  </si>
  <si>
    <t>_ الخبير بنفسه قام بفحص العقار موضوع التقييم ميدانياً.</t>
  </si>
  <si>
    <t>_ الخبير بنفسه قام بإعداد كل التوصيات والنتائج الواردة في هذا التقرير.</t>
  </si>
  <si>
    <t>_ في حالة وجود أي خلاف لفروض ومحددات التقرير يجب إبلاغ الخبير فوراً.</t>
  </si>
  <si>
    <t>أشهد أنا خبير التقييم بأنني:</t>
  </si>
  <si>
    <t>1- قد قمت بدراسة سوق منطقة العقار واخترت عقارات مقارنة من خلال استقصاء ميداني دقيق.</t>
  </si>
  <si>
    <t>2- قد قمت بأخذ جميع العوامل التي تؤثر على قيمة العقار بعين الاعتبار وأفصحت عنها.</t>
  </si>
  <si>
    <t>3- قد قدمت بالتقرير رأيي الشخصي المحايد والموضوعي في القيمة دون أي ضغوط خارجية.</t>
  </si>
  <si>
    <t>4- انه ليس لدي أي اهتمام حالي أو مستقبلي متعلق بالعقار يؤثر على حيادية رأيي.</t>
  </si>
  <si>
    <t>5- انه ليس لي اهتمام حالي أو مستقبلي بالعقار وأن رأيي غير متحيز.</t>
  </si>
  <si>
    <t>6- أنه لم يُطلب إليّ تقديم أي آراء مسبقة عن قيمة العقار.</t>
  </si>
  <si>
    <t>7- إنني قمت بأداء هذا التقييم طبقاً لمعايير التقييم الدولية IVS ومعايير الرقابة المالية EFSA.</t>
  </si>
  <si>
    <t>8- أنني أُقرّ أن القيمة الواردة في التقييم مبنية على التحليل الفعلي للسوق وليس على تقديرات تقريبية.</t>
  </si>
  <si>
    <t>9- أنني شخصياً قمت بفحص داخل وخارج العقار موضوع التقييم.</t>
  </si>
  <si>
    <t>10- إنني قمت شخصياً بإعداد كل التوصيات والنتائج المتعلقة بهذا التقييم.</t>
  </si>
  <si>
    <t>التوقيع: .......................    |    الاسم: هشام محمد محمد المهدى    |    رقم القيد: 29    |    التاريخ: 2026/04/12</t>
  </si>
  <si>
    <t>لوحة القيادة التنفيذية — Executive Dashboard</t>
  </si>
  <si>
    <t>تقرير رقم: VAL-20260412-1153  |  تاريخ: 2026/04/12  |  IVS-Compliant Multi-Method Valuation</t>
  </si>
  <si>
    <t>المؤشرات الرئيسية</t>
  </si>
  <si>
    <t>القيمة السوقية النهائية</t>
  </si>
  <si>
    <t>سعر المتر الموحَّد</t>
  </si>
  <si>
    <t>جدول التوفيق — 7 طرق تقييم</t>
  </si>
  <si>
    <t>طريقة التقييم</t>
  </si>
  <si>
    <t>المساهمة (EGP/م²)</t>
  </si>
  <si>
    <t>القيمة التوفيقية الإجمالية</t>
  </si>
  <si>
    <t>جدول تتبع مصادر البيانات (Data Traceability)</t>
  </si>
  <si>
    <t>المنطقة / الموقع</t>
  </si>
  <si>
    <t>رابط المصدر</t>
  </si>
  <si>
    <t>درايم لاند — وحدة 203101</t>
  </si>
  <si>
    <t>دريم لاند، أكتوبر</t>
  </si>
  <si>
    <t>https://www.aqar.eg/property/dream-land-october-city</t>
  </si>
  <si>
    <t>درايم لاند — وحدة 203102</t>
  </si>
  <si>
    <t>درايم لاند — وحدة 508-85</t>
  </si>
  <si>
    <t>https://www.propertyfinder.eg/en/search?q=dream-land</t>
  </si>
  <si>
    <t>درايم لاند — وحدة E1-13</t>
  </si>
  <si>
    <t>درايم لاند — وحدة 780-511</t>
  </si>
  <si>
    <t>https://www.aqar.eg/search?region=october-city</t>
  </si>
  <si>
    <t>ملاحظة:</t>
  </si>
  <si>
    <t>الروابط أعلاه تُشير إلى صفحات البحث في Aqar.eg و PropertyFinder.eg المستخدمة كمصادر للمقارنات السوقية في هذا التقرير.</t>
  </si>
  <si>
    <t>مصادر البيانات والمنهجية — Data Sources &amp; Methodology</t>
  </si>
  <si>
    <t>يُعرض في هذه الورقة المصادر الكاملة لكل بيانات التقييم | تاريخ: 2026/04/12</t>
  </si>
  <si>
    <t>أولاً: مصادر بيانات السوق العقاري</t>
  </si>
  <si>
    <t>المنصة</t>
  </si>
  <si>
    <t>الرابط / المصدر</t>
  </si>
  <si>
    <t>نوع البيانات</t>
  </si>
  <si>
    <t>عقار ماب (Aqar Map)</t>
  </si>
  <si>
    <t>https://aqarmap.com.eg/ar/for-sale/apartment/cairo/new-cairo/fifth-settlement/</t>
  </si>
  <si>
    <t>أسعار شقق التجمع الخامس — بيانات حية</t>
  </si>
  <si>
    <t>بروبرتي فايندر (Property Finder)</t>
  </si>
  <si>
    <t>https://www.propertyfinder.eg/en/buy/apartments-for-sale-in-fifth-settlement.html</t>
  </si>
  <si>
    <t>صفقات مُنقضية ومُعروضة — القاهرة الجديدة</t>
  </si>
  <si>
    <t>أوليكس مصر (OLX Egypt)</t>
  </si>
  <si>
    <t>https://www.olx.com.eg/real-estate_c1484/cairo_c1498/?search%5Bfilter_float_price:from%5D=1000000</t>
  </si>
  <si>
    <t>قوائم بيع وإيجار — سوق حر</t>
  </si>
  <si>
    <t>بيوت مصر (Bayut Egypt)</t>
  </si>
  <si>
    <t>https://www.bayut.com.eg/for-sale/apartments/new-cairo/</t>
  </si>
  <si>
    <t>أسعار التجمع والرحاب وبيفرلي هيلز</t>
  </si>
  <si>
    <t>ناشيونال للعقارات</t>
  </si>
  <si>
    <t>https://www.national.com.eg/properties</t>
  </si>
  <si>
    <t>بيانات مطورين — وحدات سوبر لوكس</t>
  </si>
  <si>
    <t>ثانياً: مصادر البيانات الاقتصادية</t>
  </si>
  <si>
    <t>المصدر</t>
  </si>
  <si>
    <t>المرجع</t>
  </si>
  <si>
    <t>البيانات المُستخدَمة</t>
  </si>
  <si>
    <t>البنك المركزي المصري (CBE)</t>
  </si>
  <si>
    <t>https://www.cbe.org.eg/en/monetary-policy/mpc-decisions</t>
  </si>
  <si>
    <t>معدل الفائدة الخالي من المخاطر: 11.5% (أذون خزانة)</t>
  </si>
  <si>
    <t>الجهاز المركزي للتعبئة والإحصاء</t>
  </si>
  <si>
    <t>https://www.capmas.gov.eg/Pages/StaticPages.aspx?page_id=5035</t>
  </si>
  <si>
    <t>معدل التضخم السنوي — مؤشر أسعار المستهلك</t>
  </si>
  <si>
    <t>هيئة الاستثمار المصرية (GAFI)</t>
  </si>
  <si>
    <t>https://investinegypt.gov.eg/english/pages/realestate.aspx</t>
  </si>
  <si>
    <t>معايير التقييم العقاري EFSA والأسواق المستهدفة</t>
  </si>
  <si>
    <t>MSCI Real Estate Egypt Index</t>
  </si>
  <si>
    <t>https://www.msci.com/real-estate</t>
  </si>
  <si>
    <t>علاوة مخاطر السوق العقاري (Market Risk Premium)</t>
  </si>
  <si>
    <t>معايير التقييم الدولية IVSC</t>
  </si>
  <si>
    <t>https://www.ivsc.org/standards/</t>
  </si>
  <si>
    <t>IVS 2022 — إطار العمل والمنهجية المُطبَّقة</t>
  </si>
  <si>
    <t>ثالثاً: المنهجية والنماذج المُستخدَمة</t>
  </si>
  <si>
    <t>النموذج</t>
  </si>
  <si>
    <t>التقنية</t>
  </si>
  <si>
    <t>الاستخدام</t>
  </si>
  <si>
    <t>RAG — Retrieval-Augmented Generation</t>
  </si>
  <si>
    <t>نموذج intfloat/multilingual-e5-large (1024-dim) + Qdrant Vector DB</t>
  </si>
  <si>
    <t>استرداد أقرب 5 مقارنات سوقية بالتضمين الدلالي</t>
  </si>
  <si>
    <t>نموذج التنبؤ — Prophet (Meta)</t>
  </si>
  <si>
    <t>prophet==1.1.x | Python 3.13 | بيانات تاريخية 24 شهراً</t>
  </si>
  <si>
    <t>تنبؤ أسعار 3/6/9/12 شهراً مع فترات الثقة</t>
  </si>
  <si>
    <t>WACC — Build-up Method</t>
  </si>
  <si>
    <t>Risk-Free + β×Market Risk + Dev Risk + Liquidity Risk</t>
  </si>
  <si>
    <t>معدل الخصم الديناميكي المُعيَّر للسوق المصري</t>
  </si>
  <si>
    <t>DCF — Discounted Cash Flow</t>
  </si>
  <si>
    <t>5 سنوات + Terminal Value (Gordon Growth / Exit Cap / Exit Multiple)</t>
  </si>
  <si>
    <t>صافي القيمة الحالية (NPV) ومعدل العائد الداخلي (IRR)</t>
  </si>
  <si>
    <t>Kriging &amp; IDW</t>
  </si>
  <si>
    <t>Ordinary Kriging + Inverse Distance Weighting (spatial interpolation)</t>
  </si>
  <si>
    <t>تحليل جغرافي مكاني لأسعار المناطق المجاورة</t>
  </si>
  <si>
    <t>نموذج الانحدار المتعدد (OLS)</t>
  </si>
  <si>
    <t>statsmodels.OLS — متغيرات: المساحة / الطابق / سنة البناء</t>
  </si>
  <si>
    <t>تقدير السعر وفق خصائص الوحدة</t>
  </si>
  <si>
    <t>الخيارات الحقيقية (GBM)</t>
  </si>
  <si>
    <t>Geometric Brownian Motion + Black-Scholes framework</t>
  </si>
  <si>
    <t>قيمة المرونة الاستثمارية تحت عدم اليقين</t>
  </si>
  <si>
    <t>مصفوفة تعديل الأرض — Land Sales Comparison Adjustment Grid</t>
  </si>
  <si>
    <t>IVS 105 § 50-60  |  القيمة المعدَّلة = السعر الأصلي × (1 + مجموع التعديلات)  |  الخلايا الزرقاء قابلة للتعديل — الأوزان يجب أن يكون مجموعها 100%</t>
  </si>
  <si>
    <t>عوامل التعديل</t>
  </si>
  <si>
    <t>مقارنة 1</t>
  </si>
  <si>
    <t>مقارنة 2</t>
  </si>
  <si>
    <t>مقارنة 3</t>
  </si>
  <si>
    <t>مقارنة 4</t>
  </si>
  <si>
    <t>ملاحظة / رابط الموقع</t>
  </si>
  <si>
    <t>السعر الأصلي للمقارنة (EGP/م²) — قابل للتعديل</t>
  </si>
  <si>
    <t>تعديل الزمن / ظروف السوق (%)</t>
  </si>
  <si>
    <t>تعديل الموقع والمنطقة (%)</t>
  </si>
  <si>
    <t>تعديل المساحة والحجم (%)</t>
  </si>
  <si>
    <t>تعديل الواجهة / الإطلالة على الشارع (%)</t>
  </si>
  <si>
    <t>تعديل الحالة القانونية والملكية (%)</t>
  </si>
  <si>
    <t>تعديل الإطلالة والمميزات البيئية (%)</t>
  </si>
  <si>
    <t>مجموع التعديلات الكلي (%)</t>
  </si>
  <si>
    <t>السعر المعدَّل (EGP/م²) = الأصلي × (1 + مجموع التعديلات)</t>
  </si>
  <si>
    <t>الوزن النسبي للمقارنة (%) — قابل للتعديل</t>
  </si>
  <si>
    <t>المساهمة المرجحة (EGP/م²)</t>
  </si>
  <si>
    <t>القيمة السوقية المقدرة للأرض (متوسط مرجح) EGP/م²</t>
  </si>
  <si>
    <t>← القيمة السوقية الموجَّهة لأسلوب التكلفة</t>
  </si>
  <si>
    <t>روابط الموقع الجغرافي — GIS / KML  (Google Earth)</t>
  </si>
  <si>
    <t>انقر على الرابط للوصول لموقع المقارنة في Google Earth:</t>
  </si>
  <si>
    <t>KML-1
دريم لاند — قطعة 1</t>
  </si>
  <si>
    <t>KML-2
أكتوبر — مجمع R7 ق</t>
  </si>
  <si>
    <t>KML-3
المعادي — قطعة B-7</t>
  </si>
  <si>
    <t xml:space="preserve">KML-4
القاهرة الجديدة — </t>
  </si>
  <si>
    <t>ملاحظة منهجية: التعديلات موجبة (+) عندما تكون المقارنة أفضل من العقار المقيَّم (يُخفَّض سعرها)، وسالبة (-) عندما تكون أدنى (يُرفَع سعرها). مجموع الأوزان يجب أن يساوي 100%. المصدر: معايير IVS 105 §50-60.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</si>
</sst>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 &quot;EGP&quot;"/>
  </numFmts>
  <fonts count="24" x14ac:knownFonts="1">
    <font>
      <sz val="11"/>
      <color theme="1"/>
      <name val="Calibri"/>
      <family val="2"/>
      <scheme val="minor"/>
    </font>
    <font>
      <b/>
      <sz val="15"/>
      <color rgb="FFFFFFFF"/>
      <name val="Simplified Arabic"/>
      <family val="2"/>
    </font>
    <font>
      <i/>
      <sz val="10"/>
      <color rgb="FF1F78D1"/>
      <name val="Simplified Arabic"/>
      <family val="2"/>
    </font>
    <font>
      <b/>
      <sz val="11"/>
      <color rgb="FFFFFFFF"/>
      <name val="Simplified Arabic"/>
      <family val="2"/>
    </font>
    <font>
      <b/>
      <sz val="10"/>
      <color rgb="FF000000"/>
      <name val="Simplified Arabic"/>
      <family val="2"/>
    </font>
    <font>
      <sz val="11"/>
      <color rgb="FF1F78D1"/>
      <name val="Simplified Arabic"/>
      <family val="2"/>
    </font>
    <font>
      <i/>
      <sz val="9"/>
      <color rgb="FF666666"/>
      <name val="Simplified Arabic"/>
      <family val="2"/>
    </font>
    <font>
      <b/>
      <sz val="11"/>
      <color rgb="FF375623"/>
      <name val="Simplified Arabic"/>
      <family val="2"/>
    </font>
    <font>
      <b/>
      <sz val="11"/>
      <color rgb="FF833C00"/>
      <name val="Simplified Arabic"/>
      <family val="2"/>
    </font>
    <font>
      <b/>
      <sz val="16"/>
      <color rgb="FFFFFFFF"/>
      <name val="Simplified Arabic"/>
      <family val="2"/>
    </font>
    <font>
      <b/>
      <sz val="12"/>
      <color rgb="FFFFFFFF"/>
      <name val="Simplified Arabic"/>
      <family val="2"/>
    </font>
    <font>
      <sz val="11"/>
      <color rgb="FF000000"/>
      <name val="Simplified Arabic"/>
      <family val="2"/>
    </font>
    <font>
      <b/>
      <sz val="11"/>
      <color rgb="FF000000"/>
      <name val="Simplified Arabic"/>
      <family val="2"/>
    </font>
    <font>
      <sz val="10"/>
      <color rgb="FF000000"/>
      <name val="Simplified Arabic"/>
      <family val="2"/>
    </font>
    <font>
      <b/>
      <sz val="12"/>
      <color rgb="FF000000"/>
      <name val="Simplified Arabic"/>
      <family val="2"/>
    </font>
    <font>
      <b/>
      <sz val="14"/>
      <color rgb="FF000000"/>
      <name val="Simplified Arabic"/>
      <family val="2"/>
    </font>
    <font>
      <b/>
      <sz val="13"/>
      <color rgb="FF1F4E78"/>
      <name val="Simplified Arabic"/>
      <family val="2"/>
    </font>
    <font>
      <b/>
      <sz val="20"/>
      <color rgb="FFFFFFFF"/>
      <name val="Simplified Arabic"/>
      <family val="2"/>
    </font>
    <font>
      <b/>
      <sz val="16"/>
      <color rgb="FF000000"/>
      <name val="Simplified Arabic"/>
      <family val="2"/>
    </font>
    <font>
      <sz val="10"/>
      <color rgb="FF0563C1"/>
      <name val="Simplified Arabic"/>
      <family val="2"/>
    </font>
    <font>
      <sz val="9"/>
      <color rgb="FF000000"/>
      <name val="Simplified Arabic"/>
      <family val="2"/>
    </font>
    <font>
      <i/>
      <sz val="10"/>
      <color rgb="FF375623"/>
      <name val="Simplified Arabic"/>
      <family val="2"/>
    </font>
    <font>
      <i/>
      <sz val="9"/>
      <color rgb="FF1F78D1"/>
      <name val="Simplified Arabic"/>
      <family val="2"/>
    </font>
    <font>
      <i/>
      <sz val="9"/>
      <color rgb="FF555555"/>
      <name val="Simplified Arabic"/>
      <family val="2"/>
    </font>
  </fonts>
  <fills count="17">
    <fill>
      <patternFill patternType="none"/>
    </fill>
    <fill>
      <patternFill patternType="gray125"/>
    </fill>
    <fill>
      <patternFill patternType="solid">
        <fgColor rgb="FF1F4E78"/>
        <bgColor indexed="64"/>
      </patternFill>
    </fill>
    <fill>
      <patternFill patternType="solid">
        <fgColor rgb="FFEBF3FB"/>
        <bgColor indexed="64"/>
      </patternFill>
    </fill>
    <fill>
      <patternFill patternType="solid">
        <fgColor rgb="FF17375E"/>
        <bgColor indexed="64"/>
      </patternFill>
    </fill>
    <fill>
      <patternFill patternType="solid">
        <fgColor rgb="FFF2F2F2"/>
        <bgColor indexed="64"/>
      </patternFill>
    </fill>
    <fill>
      <patternFill patternType="solid">
        <fgColor rgb="FFE2EFDA"/>
        <bgColor indexed="64"/>
      </patternFill>
    </fill>
    <fill>
      <patternFill patternType="solid">
        <fgColor rgb="FFFCE4D6"/>
        <bgColor indexed="64"/>
      </patternFill>
    </fill>
    <fill>
      <patternFill patternType="solid">
        <fgColor rgb="FFD4AF37"/>
        <bgColor indexed="64"/>
      </patternFill>
    </fill>
    <fill>
      <patternFill patternType="solid">
        <fgColor rgb="FFBDD7EE"/>
        <bgColor indexed="64"/>
      </patternFill>
    </fill>
    <fill>
      <patternFill patternType="solid">
        <fgColor rgb="FF2E74B5"/>
        <bgColor indexed="64"/>
      </patternFill>
    </fill>
    <fill>
      <patternFill patternType="solid">
        <fgColor rgb="FFF8F8F8"/>
        <bgColor indexed="64"/>
      </patternFill>
    </fill>
    <fill>
      <patternFill patternType="solid">
        <fgColor rgb="FFFFFFFF"/>
        <bgColor indexed="64"/>
      </patternFill>
    </fill>
    <fill>
      <patternFill patternType="solid">
        <fgColor rgb="FFFFD700"/>
        <bgColor indexed="64"/>
      </patternFill>
    </fill>
    <fill>
      <patternFill patternType="solid">
        <fgColor rgb="FFD9E1F2"/>
        <bgColor indexed="64"/>
      </patternFill>
    </fill>
    <fill>
      <patternFill patternType="solid">
        <fgColor rgb="FFFFF2CC"/>
        <bgColor indexed="64"/>
      </patternFill>
    </fill>
    <fill>
      <patternFill patternType="solid">
        <fgColor rgb="FFF9F9F9"/>
        <bgColor indexed="64"/>
      </patternFill>
    </fill>
  </fills>
  <borders count="3">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s>
  <cellStyleXfs count="1">
    <xf numFmtId="0" fontId="0" fillId="0" borderId="0"/>
  </cellStyleXfs>
  <cellXfs count="54">
    <xf numFmtId="0" fontId="0" fillId="0" borderId="0" xfId="0"/>
    <xf numFmtId="0" fontId="3" fillId="4" borderId="2" xfId="0" applyFont="1" applyFill="1" applyBorder="1" applyAlignment="1">
      <alignment horizontal="center" vertical="center"/>
    </xf>
    <xf numFmtId="0" fontId="4" fillId="5" borderId="2" xfId="0" applyFont="1" applyFill="1" applyBorder="1" applyAlignment="1">
      <alignment horizontal="right" vertical="center"/>
    </xf>
    <xf numFmtId="4" fontId="5" fillId="3" borderId="2" xfId="0" applyNumberFormat="1" applyFont="1" applyFill="1" applyBorder="1" applyAlignment="1">
      <alignment horizontal="center" vertical="center"/>
    </xf>
    <xf numFmtId="0" fontId="6" fillId="0" borderId="2" xfId="0" applyFont="1" applyBorder="1" applyAlignment="1">
      <alignment horizontal="right" vertical="center" wrapText="1"/>
    </xf>
    <xf numFmtId="10" fontId="5" fillId="3" borderId="2" xfId="0" applyNumberFormat="1" applyFont="1" applyFill="1" applyBorder="1" applyAlignment="1">
      <alignment horizontal="center" vertical="center"/>
    </xf>
    <xf numFmtId="0" fontId="5" fillId="3" borderId="2" xfId="0" applyFont="1" applyFill="1" applyBorder="1" applyAlignment="1">
      <alignment horizontal="right" vertical="center"/>
    </xf>
    <xf numFmtId="4" fontId="7" fillId="6" borderId="2" xfId="0" applyNumberFormat="1" applyFont="1" applyFill="1" applyBorder="1" applyAlignment="1">
      <alignment horizontal="right" vertical="center"/>
    </xf>
    <xf numFmtId="4" fontId="8" fillId="7" borderId="2" xfId="0" applyNumberFormat="1" applyFont="1" applyFill="1" applyBorder="1" applyAlignment="1">
      <alignment horizontal="right" vertical="center"/>
    </xf>
    <xf numFmtId="0" fontId="12" fillId="9" borderId="2" xfId="0" applyFont="1" applyFill="1" applyBorder="1" applyAlignment="1">
      <alignment horizontal="right" vertical="center"/>
    </xf>
    <xf numFmtId="0" fontId="13" fillId="0" borderId="2" xfId="0" applyFont="1" applyBorder="1" applyAlignment="1">
      <alignment horizontal="right" vertical="center"/>
    </xf>
    <xf numFmtId="4" fontId="13" fillId="0" borderId="2" xfId="0" applyNumberFormat="1" applyFont="1" applyBorder="1" applyAlignment="1">
      <alignment horizontal="center" vertical="center"/>
    </xf>
    <xf numFmtId="0" fontId="13" fillId="0" borderId="2" xfId="0" applyFont="1" applyBorder="1" applyAlignment="1">
      <alignment horizontal="center" vertical="center"/>
    </xf>
    <xf numFmtId="4" fontId="12" fillId="0" borderId="2" xfId="0" applyNumberFormat="1" applyFont="1" applyBorder="1" applyAlignment="1">
      <alignment horizontal="center" vertical="center"/>
    </xf>
    <xf numFmtId="164" fontId="13" fillId="0" borderId="2" xfId="0" applyNumberFormat="1" applyFont="1" applyBorder="1" applyAlignment="1">
      <alignment horizontal="center" vertical="center"/>
    </xf>
    <xf numFmtId="0" fontId="13" fillId="0" borderId="2" xfId="0" applyFont="1" applyBorder="1" applyAlignment="1">
      <alignment horizontal="right" vertical="center" wrapText="1"/>
    </xf>
    <xf numFmtId="0" fontId="3" fillId="10" borderId="2" xfId="0" applyFont="1" applyFill="1" applyBorder="1" applyAlignment="1">
      <alignment horizontal="center" vertical="center"/>
    </xf>
    <xf numFmtId="0" fontId="12" fillId="8" borderId="2" xfId="0" applyFont="1" applyFill="1" applyBorder="1" applyAlignment="1">
      <alignment horizontal="right" vertical="center"/>
    </xf>
    <xf numFmtId="0" fontId="14" fillId="8" borderId="2" xfId="0" applyFont="1" applyFill="1" applyBorder="1" applyAlignment="1">
      <alignment horizontal="center" vertical="center"/>
    </xf>
    <xf numFmtId="0" fontId="4" fillId="11" borderId="2" xfId="0" applyFont="1" applyFill="1" applyBorder="1" applyAlignment="1">
      <alignment horizontal="right" vertical="center"/>
    </xf>
    <xf numFmtId="0" fontId="4" fillId="12" borderId="2" xfId="0" applyFont="1" applyFill="1" applyBorder="1" applyAlignment="1">
      <alignment horizontal="right" vertical="center"/>
    </xf>
    <xf numFmtId="165" fontId="15" fillId="13" borderId="1" xfId="0" applyNumberFormat="1" applyFont="1" applyFill="1" applyBorder="1" applyAlignment="1">
      <alignment horizontal="center" vertical="center"/>
    </xf>
    <xf numFmtId="165" fontId="16" fillId="14" borderId="1" xfId="0" applyNumberFormat="1" applyFont="1" applyFill="1" applyBorder="1" applyAlignment="1">
      <alignment horizontal="center" vertical="center"/>
    </xf>
    <xf numFmtId="0" fontId="13" fillId="0" borderId="2" xfId="0" applyFont="1" applyBorder="1" applyAlignment="1">
      <alignment horizontal="right" vertical="top" wrapText="1"/>
    </xf>
    <xf numFmtId="3" fontId="13" fillId="0" borderId="2" xfId="0" applyNumberFormat="1" applyFont="1" applyBorder="1" applyAlignment="1">
      <alignment horizontal="center" vertical="center"/>
    </xf>
    <xf numFmtId="0" fontId="3" fillId="2" borderId="2" xfId="0" applyFont="1" applyFill="1" applyBorder="1" applyAlignment="1">
      <alignment horizontal="right" vertical="center"/>
    </xf>
    <xf numFmtId="3" fontId="12" fillId="8" borderId="2" xfId="0" applyNumberFormat="1" applyFont="1" applyFill="1" applyBorder="1" applyAlignment="1">
      <alignment horizontal="center" vertical="center"/>
    </xf>
    <xf numFmtId="0" fontId="19" fillId="0" borderId="2" xfId="0" applyFont="1" applyBorder="1" applyAlignment="1">
      <alignment horizontal="right" vertical="center"/>
    </xf>
    <xf numFmtId="3" fontId="5" fillId="3" borderId="2" xfId="0" applyNumberFormat="1" applyFont="1" applyFill="1" applyBorder="1" applyAlignment="1">
      <alignment horizontal="center" vertical="center"/>
    </xf>
    <xf numFmtId="0" fontId="20" fillId="0" borderId="2" xfId="0" applyFont="1" applyBorder="1" applyAlignment="1">
      <alignment horizontal="right" vertical="center"/>
    </xf>
    <xf numFmtId="9" fontId="5" fillId="3" borderId="2" xfId="0" applyNumberFormat="1" applyFont="1" applyFill="1" applyBorder="1" applyAlignment="1">
      <alignment horizontal="center" vertical="center"/>
    </xf>
    <xf numFmtId="9" fontId="12" fillId="15" borderId="2" xfId="0" applyNumberFormat="1" applyFont="1" applyFill="1" applyBorder="1" applyAlignment="1">
      <alignment horizontal="center" vertical="center"/>
    </xf>
    <xf numFmtId="3" fontId="14" fillId="13" borderId="1" xfId="0" applyNumberFormat="1" applyFont="1" applyFill="1" applyBorder="1" applyAlignment="1">
      <alignment horizontal="center" vertical="center"/>
    </xf>
    <xf numFmtId="4" fontId="15" fillId="8" borderId="1" xfId="0" applyNumberFormat="1" applyFont="1" applyFill="1" applyBorder="1" applyAlignment="1">
      <alignment horizontal="center" vertical="center"/>
    </xf>
    <xf numFmtId="0" fontId="22" fillId="0" borderId="2" xfId="0" applyFont="1" applyBorder="1" applyAlignment="1">
      <alignment horizontal="center" vertical="center" wrapText="1"/>
    </xf>
    <xf numFmtId="0" fontId="1" fillId="2" borderId="1" xfId="0" applyFont="1" applyFill="1" applyBorder="1" applyAlignment="1">
      <alignment horizontal="center" vertical="center"/>
    </xf>
    <xf numFmtId="0" fontId="2" fillId="3" borderId="2" xfId="0" applyFont="1" applyFill="1" applyBorder="1" applyAlignment="1">
      <alignment horizontal="center" vertical="center"/>
    </xf>
    <xf numFmtId="0" fontId="3" fillId="4" borderId="2" xfId="0" applyFont="1" applyFill="1" applyBorder="1" applyAlignment="1">
      <alignment horizontal="center" vertical="center"/>
    </xf>
    <xf numFmtId="0" fontId="12" fillId="9" borderId="2" xfId="0" applyFont="1" applyFill="1" applyBorder="1" applyAlignment="1">
      <alignment horizontal="right" vertical="center"/>
    </xf>
    <xf numFmtId="0" fontId="13" fillId="0" borderId="2" xfId="0" applyFont="1" applyBorder="1" applyAlignment="1">
      <alignment horizontal="right" vertical="center" wrapText="1"/>
    </xf>
    <xf numFmtId="0" fontId="13" fillId="0" borderId="2" xfId="0" applyFont="1" applyBorder="1" applyAlignment="1">
      <alignment horizontal="right" vertical="center"/>
    </xf>
    <xf numFmtId="0" fontId="9" fillId="2" borderId="1" xfId="0" applyFont="1" applyFill="1" applyBorder="1" applyAlignment="1">
      <alignment horizontal="center" vertical="center"/>
    </xf>
    <xf numFmtId="0" fontId="10" fillId="4" borderId="2" xfId="0" applyFont="1" applyFill="1" applyBorder="1" applyAlignment="1">
      <alignment horizontal="center" vertical="center"/>
    </xf>
    <xf numFmtId="0" fontId="11" fillId="8" borderId="2" xfId="0" applyFont="1" applyFill="1" applyBorder="1" applyAlignment="1">
      <alignment horizontal="right" vertical="center"/>
    </xf>
    <xf numFmtId="0" fontId="12" fillId="8" borderId="2" xfId="0" applyFont="1" applyFill="1" applyBorder="1" applyAlignment="1">
      <alignment horizontal="right" vertical="center"/>
    </xf>
    <xf numFmtId="0" fontId="10" fillId="10" borderId="2" xfId="0" applyFont="1" applyFill="1" applyBorder="1" applyAlignment="1">
      <alignment horizontal="center" vertical="center"/>
    </xf>
    <xf numFmtId="0" fontId="20" fillId="0" borderId="2" xfId="0" applyFont="1" applyBorder="1" applyAlignment="1">
      <alignment horizontal="right" vertical="center" wrapText="1"/>
    </xf>
    <xf numFmtId="0" fontId="17" fillId="2" borderId="1" xfId="0" applyFont="1" applyFill="1" applyBorder="1" applyAlignment="1">
      <alignment horizontal="center" vertical="center"/>
    </xf>
    <xf numFmtId="0" fontId="4" fillId="5" borderId="2" xfId="0" applyFont="1" applyFill="1" applyBorder="1" applyAlignment="1">
      <alignment horizontal="right" vertical="center"/>
    </xf>
    <xf numFmtId="3" fontId="18" fillId="8" borderId="1" xfId="0" applyNumberFormat="1" applyFont="1" applyFill="1" applyBorder="1" applyAlignment="1">
      <alignment horizontal="center" vertical="center"/>
    </xf>
    <xf numFmtId="3" fontId="16" fillId="3" borderId="1" xfId="0" applyNumberFormat="1" applyFont="1" applyFill="1" applyBorder="1" applyAlignment="1">
      <alignment horizontal="center" vertical="center"/>
    </xf>
    <xf numFmtId="0" fontId="10" fillId="4" borderId="2" xfId="0" applyFont="1" applyFill="1" applyBorder="1" applyAlignment="1">
      <alignment horizontal="right" vertical="center"/>
    </xf>
    <xf numFmtId="0" fontId="21" fillId="0" borderId="2" xfId="0" applyFont="1" applyBorder="1" applyAlignment="1">
      <alignment horizontal="right" vertical="center"/>
    </xf>
    <xf numFmtId="0" fontId="23" fillId="16" borderId="2" xfId="0" applyFont="1" applyFill="1" applyBorder="1" applyAlignment="1">
      <alignment horizontal="right"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توزيع تكلفة البناء: هيكل إنشائي | تشطيبات | تكاليف غير مباشرة</a:t>
            </a:r>
          </a:p>
        </c:rich>
      </c:tx>
      <c:overlay val="0"/>
    </c:title>
    <c:autoTitleDeleted val="0"/>
    <c:plotArea>
      <c:layout/>
      <c:pieChart>
        <c:varyColors val="1"/>
        <c:ser>
          <c:idx val="0"/>
          <c:order val="0"/>
          <c:tx>
            <c:v>توزيع تكلفة البناء</c:v>
          </c:tx>
          <c:dLbls>
            <c:spPr>
              <a:noFill/>
              <a:ln>
                <a:noFill/>
              </a:ln>
              <a:effectLst/>
            </c:spPr>
            <c:txPr>
              <a:bodyPr/>
              <a:lstStyle/>
              <a:p>
                <a:pPr>
                  <a:defRPr sz="1000" baseline="0">
                    <a:latin typeface="Simplified Arabic"/>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'طريقة التكلفة'!$A$51:$A$53</c:f>
              <c:strCache>
                <c:ptCount val="3"/>
                <c:pt idx="0">
                  <c:v>أعمال الهيكل الإنشائي (أ)</c:v>
                </c:pt>
                <c:pt idx="1">
                  <c:v>أعمال التشطيبات (ب)</c:v>
                </c:pt>
                <c:pt idx="2">
                  <c:v>التكاليف غير المباشرة (ج)</c:v>
                </c:pt>
              </c:strCache>
            </c:strRef>
          </c:cat>
          <c:val>
            <c:numRef>
              <c:f>'طريقة التكلفة'!$B$51:$B$53</c:f>
              <c:numCache>
                <c:formatCode>#,##0.00</c:formatCode>
                <c:ptCount val="3"/>
                <c:pt idx="0">
                  <c:v>550000</c:v>
                </c:pt>
                <c:pt idx="1">
                  <c:v>390000</c:v>
                </c:pt>
                <c:pt idx="2">
                  <c:v>195050</c:v>
                </c:pt>
              </c:numCache>
            </c:numRef>
          </c:val>
          <c:extLst>
            <c:ext xmlns:c16="http://schemas.microsoft.com/office/drawing/2014/chart" uri="{C3380CC4-5D6E-409C-BE32-E72D297353CC}">
              <c16:uniqueId val="{00000000-7008-4854-88ED-8DEB01EEC4D5}"/>
            </c:ext>
          </c:extLst>
        </c:ser>
        <c:dLbls>
          <c:showLegendKey val="0"/>
          <c:showVal val="0"/>
          <c:showCatName val="0"/>
          <c:showSerName val="0"/>
          <c:showPercent val="0"/>
          <c:showBubbleSize val="0"/>
          <c:showLeaderLines val="0"/>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مقارنة طرق التقييم السبعة (EGP/م²)</a:t>
            </a:r>
          </a:p>
        </c:rich>
      </c:tx>
      <c:overlay val="0"/>
    </c:title>
    <c:autoTitleDeleted val="0"/>
    <c:plotArea>
      <c:layout/>
      <c:barChart>
        <c:barDir val="col"/>
        <c:grouping val="clustered"/>
        <c:varyColors val="0"/>
        <c:ser>
          <c:idx val="0"/>
          <c:order val="0"/>
          <c:tx>
            <c:v>سعر المتر (EGP/م²)</c:v>
          </c:tx>
          <c:spPr>
            <a:solidFill>
              <a:srgbClr val="2E74B5"/>
            </a:solidFill>
          </c:spPr>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'لوحة القيادة التنفيذية'!$A$9:$A$14</c:f>
              <c:strCache>
                <c:ptCount val="6"/>
                <c:pt idx="0">
                  <c:v>أسلوب مقارنة البيوع السابقة</c:v>
                </c:pt>
                <c:pt idx="1">
                  <c:v>أسلوب حساب التكلفة (DRC)</c:v>
                </c:pt>
                <c:pt idx="2">
                  <c:v>أسلوب رأسمالة الدخل</c:v>
                </c:pt>
                <c:pt idx="3">
                  <c:v>التحليل المكاني (Kriging/IDW)</c:v>
                </c:pt>
                <c:pt idx="4">
                  <c:v>الانحدار الخطي المتعدد (OLS)</c:v>
                </c:pt>
                <c:pt idx="5">
                  <c:v>الخيارات الحقيقية (B-S)</c:v>
                </c:pt>
              </c:strCache>
            </c:strRef>
          </c:cat>
          <c:val>
            <c:numRef>
              <c:f>'لوحة القيادة التنفيذية'!$B$9:$B$14</c:f>
              <c:numCache>
                <c:formatCode>#,##0</c:formatCode>
                <c:ptCount val="6"/>
                <c:pt idx="0">
                  <c:v>22665</c:v>
                </c:pt>
                <c:pt idx="1">
                  <c:v>10512</c:v>
                </c:pt>
                <c:pt idx="2">
                  <c:v>3175</c:v>
                </c:pt>
                <c:pt idx="3">
                  <c:v>23583</c:v>
                </c:pt>
                <c:pt idx="4">
                  <c:v>22984</c:v>
                </c:pt>
                <c:pt idx="5">
                  <c:v>24350</c:v>
                </c:pt>
              </c:numCache>
            </c:numRef>
          </c:val>
          <c:extLst>
            <c:ext xmlns:c16="http://schemas.microsoft.com/office/drawing/2014/chart" uri="{C3380CC4-5D6E-409C-BE32-E72D297353CC}">
              <c16:uniqueId val="{00000000-C6D1-482C-B663-8A2181E32A52}"/>
            </c:ext>
          </c:extLst>
        </c:ser>
        <c:dLbls>
          <c:showLegendKey val="0"/>
          <c:showVal val="0"/>
          <c:showCatName val="0"/>
          <c:showSerName val="0"/>
          <c:showPercent val="0"/>
          <c:showBubbleSize val="0"/>
        </c:dLbls>
        <c:gapWidth val="150"/>
        <c:axId val="50020001"/>
        <c:axId val="50020002"/>
      </c:barChart>
      <c:catAx>
        <c:axId val="50020001"/>
        <c:scaling>
          <c:orientation val="minMax"/>
        </c:scaling>
        <c:delete val="0"/>
        <c:axPos val="b"/>
        <c:title>
          <c:tx>
            <c:rich>
              <a:bodyPr/>
              <a:lstStyle/>
              <a:p>
                <a:pPr>
                  <a:defRPr/>
                </a:pPr>
                <a:r>
                  <a:rPr lang="en-US"/>
                  <a:t>طريقة التقييم</a:t>
                </a:r>
              </a:p>
            </c:rich>
          </c:tx>
          <c:overlay val="0"/>
        </c:title>
        <c:numFmt formatCode="General" sourceLinked="0"/>
        <c:majorTickMark val="out"/>
        <c:minorTickMark val="none"/>
        <c:tickLblPos val="nextTo"/>
        <c:crossAx val="50020002"/>
        <c:crosses val="autoZero"/>
        <c:auto val="1"/>
        <c:lblAlgn val="ctr"/>
        <c:lblOffset val="100"/>
        <c:noMultiLvlLbl val="0"/>
      </c:catAx>
      <c:valAx>
        <c:axId val="50020002"/>
        <c:scaling>
          <c:orientation val="minMax"/>
        </c:scaling>
        <c:delete val="0"/>
        <c:axPos val="l"/>
        <c:majorGridlines/>
        <c:title>
          <c:tx>
            <c:rich>
              <a:bodyPr/>
              <a:lstStyle/>
              <a:p>
                <a:pPr>
                  <a:defRPr/>
                </a:pPr>
                <a:r>
                  <a:rPr lang="en-US"/>
                  <a:t>EGP/م²</a:t>
                </a:r>
              </a:p>
            </c:rich>
          </c:tx>
          <c:overlay val="0"/>
        </c:title>
        <c:numFmt formatCode="#,##0" sourceLinked="0"/>
        <c:majorTickMark val="out"/>
        <c:minorTickMark val="none"/>
        <c:tickLblPos val="nextTo"/>
        <c:crossAx val="5002000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47625</xdr:colOff>
      <xdr:row>53</xdr:row>
      <xdr:rowOff>47625</xdr:rowOff>
    </xdr:from>
    <xdr:to>
      <xdr:col>2</xdr:col>
      <xdr:colOff>257175</xdr:colOff>
      <xdr:row>68</xdr:row>
      <xdr:rowOff>47625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47625</xdr:colOff>
      <xdr:row>4</xdr:row>
      <xdr:rowOff>47625</xdr:rowOff>
    </xdr:from>
    <xdr:to>
      <xdr:col>5</xdr:col>
      <xdr:colOff>904875</xdr:colOff>
      <xdr:row>15</xdr:row>
      <xdr:rowOff>180975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3.xml.rels><?xml version="1.0" encoding="UTF-8" standalone="yes"?>
<Relationships xmlns="http://schemas.openxmlformats.org/package/2006/relationships"><Relationship Id="rId3" Type="http://schemas.openxmlformats.org/officeDocument/2006/relationships/hyperlink" Target="https://www.propertyfinder.eg/en/search?q=dream-land" TargetMode="External"/><Relationship Id="rId2" Type="http://schemas.openxmlformats.org/officeDocument/2006/relationships/hyperlink" Target="https://www.aqar.eg/property/dream-land-october-city" TargetMode="External"/><Relationship Id="rId1" Type="http://schemas.openxmlformats.org/officeDocument/2006/relationships/hyperlink" Target="https://www.aqar.eg/property/dream-land-october-city" TargetMode="External"/><Relationship Id="rId6" Type="http://schemas.openxmlformats.org/officeDocument/2006/relationships/drawing" Target="../drawings/drawing2.xml"/><Relationship Id="rId5" Type="http://schemas.openxmlformats.org/officeDocument/2006/relationships/hyperlink" Target="https://www.aqar.eg/search?region=october-city" TargetMode="External"/><Relationship Id="rId4" Type="http://schemas.openxmlformats.org/officeDocument/2006/relationships/hyperlink" Target="https://www.propertyfinder.eg/en/search?q=dream-land"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investinegypt.gov.eg/english/pages/realestate.aspx" TargetMode="External"/><Relationship Id="rId3" Type="http://schemas.openxmlformats.org/officeDocument/2006/relationships/hyperlink" Target="https://www.olx.com.eg/real-estate_c1484/cairo_c1498/?search%5Bfilter_float_price:from%5D=1000000" TargetMode="External"/><Relationship Id="rId7" Type="http://schemas.openxmlformats.org/officeDocument/2006/relationships/hyperlink" Target="https://www.capmas.gov.eg/Pages/StaticPages.aspx?page_id=5035" TargetMode="External"/><Relationship Id="rId2" Type="http://schemas.openxmlformats.org/officeDocument/2006/relationships/hyperlink" Target="https://www.propertyfinder.eg/en/buy/apartments-for-sale-in-fifth-settlement.html" TargetMode="External"/><Relationship Id="rId1" Type="http://schemas.openxmlformats.org/officeDocument/2006/relationships/hyperlink" Target="https://aqarmap.com.eg/ar/for-sale/apartment/cairo/new-cairo/fifth-settlement/" TargetMode="External"/><Relationship Id="rId6" Type="http://schemas.openxmlformats.org/officeDocument/2006/relationships/hyperlink" Target="https://www.cbe.org.eg/en/monetary-policy/mpc-decisions" TargetMode="External"/><Relationship Id="rId5" Type="http://schemas.openxmlformats.org/officeDocument/2006/relationships/hyperlink" Target="https://www.national.com.eg/properties" TargetMode="External"/><Relationship Id="rId10" Type="http://schemas.openxmlformats.org/officeDocument/2006/relationships/hyperlink" Target="https://www.ivsc.org/standards/" TargetMode="External"/><Relationship Id="rId4" Type="http://schemas.openxmlformats.org/officeDocument/2006/relationships/hyperlink" Target="https://www.bayut.com.eg/for-sale/apartments/new-cairo/" TargetMode="External"/><Relationship Id="rId9" Type="http://schemas.openxmlformats.org/officeDocument/2006/relationships/hyperlink" Target="https://www.msci.com/real-estat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4E78"/>
  </sheetPr>
  <dimension ref="A1:C34"/>
  <sheetViews>
    <sheetView rightToLeft="1" tabSelected="1" workbookViewId="0">
      <selection activeCell="F8" sqref="F8"/>
    </sheetView>
  </sheetViews>
  <sheetFormatPr defaultRowHeight="14.4" x14ac:dyDescent="0.3"/>
  <cols>
    <col min="1" max="1" width="34.6640625" customWidth="1"/>
    <col min="2" max="2" width="22.6640625" customWidth="1"/>
    <col min="3" max="3" width="30.6640625" customWidth="1"/>
  </cols>
  <sheetData>
    <row r="1" spans="1:3" ht="34.950000000000003" customHeight="1" x14ac:dyDescent="0.3">
      <c r="A1" s="35" t="s">
        <v>0</v>
      </c>
      <c r="B1" s="35"/>
      <c r="C1" s="35"/>
    </row>
    <row r="2" spans="1:3" ht="19.95" customHeight="1" x14ac:dyDescent="0.3">
      <c r="A2" s="36" t="s">
        <v>1</v>
      </c>
      <c r="B2" s="36"/>
      <c r="C2" s="36"/>
    </row>
    <row r="3" spans="1:3" ht="19.95" customHeight="1" x14ac:dyDescent="0.3">
      <c r="A3" s="1" t="s">
        <v>2</v>
      </c>
      <c r="B3" s="1" t="s">
        <v>3</v>
      </c>
      <c r="C3" s="1" t="s">
        <v>4</v>
      </c>
    </row>
    <row r="4" spans="1:3" ht="22.05" customHeight="1" x14ac:dyDescent="0.3">
      <c r="A4" s="2" t="s">
        <v>5</v>
      </c>
      <c r="B4" s="3">
        <v>200</v>
      </c>
      <c r="C4" s="4" t="s">
        <v>6</v>
      </c>
    </row>
    <row r="5" spans="1:3" ht="22.05" customHeight="1" x14ac:dyDescent="0.3">
      <c r="A5" s="2" t="s">
        <v>7</v>
      </c>
      <c r="B5" s="3">
        <v>20000</v>
      </c>
      <c r="C5" s="4" t="s">
        <v>8</v>
      </c>
    </row>
    <row r="6" spans="1:3" ht="22.05" customHeight="1" x14ac:dyDescent="0.3">
      <c r="A6" s="2" t="s">
        <v>9</v>
      </c>
      <c r="B6" s="3">
        <v>380</v>
      </c>
      <c r="C6" s="4" t="s">
        <v>10</v>
      </c>
    </row>
    <row r="7" spans="1:3" ht="22.05" customHeight="1" x14ac:dyDescent="0.3">
      <c r="A7" s="2" t="s">
        <v>11</v>
      </c>
      <c r="B7" s="5">
        <v>0.08</v>
      </c>
      <c r="C7" s="4" t="s">
        <v>12</v>
      </c>
    </row>
    <row r="8" spans="1:3" ht="22.05" customHeight="1" x14ac:dyDescent="0.3">
      <c r="A8" s="2" t="s">
        <v>13</v>
      </c>
      <c r="B8" s="3">
        <v>16</v>
      </c>
      <c r="C8" s="4" t="s">
        <v>14</v>
      </c>
    </row>
    <row r="9" spans="1:3" ht="22.05" customHeight="1" x14ac:dyDescent="0.3">
      <c r="A9" s="2" t="s">
        <v>15</v>
      </c>
      <c r="B9" s="3">
        <v>3</v>
      </c>
      <c r="C9" s="4" t="s">
        <v>16</v>
      </c>
    </row>
    <row r="10" spans="1:3" ht="22.05" customHeight="1" x14ac:dyDescent="0.3">
      <c r="A10" s="2" t="s">
        <v>17</v>
      </c>
      <c r="B10" s="3">
        <v>2010</v>
      </c>
      <c r="C10" s="4" t="s">
        <v>18</v>
      </c>
    </row>
    <row r="11" spans="1:3" ht="22.05" customHeight="1" x14ac:dyDescent="0.3">
      <c r="A11" s="2" t="s">
        <v>19</v>
      </c>
      <c r="B11" s="5">
        <v>0.12</v>
      </c>
      <c r="C11" s="4" t="s">
        <v>20</v>
      </c>
    </row>
    <row r="12" spans="1:3" ht="22.05" customHeight="1" x14ac:dyDescent="0.3">
      <c r="A12" s="2" t="s">
        <v>21</v>
      </c>
      <c r="B12" s="5">
        <v>0.05</v>
      </c>
      <c r="C12" s="4" t="s">
        <v>22</v>
      </c>
    </row>
    <row r="13" spans="1:3" ht="22.05" customHeight="1" x14ac:dyDescent="0.3">
      <c r="A13" s="2" t="s">
        <v>23</v>
      </c>
      <c r="B13" s="6" t="s">
        <v>24</v>
      </c>
      <c r="C13" s="4"/>
    </row>
    <row r="14" spans="1:3" ht="22.05" customHeight="1" x14ac:dyDescent="0.3">
      <c r="A14" s="2" t="s">
        <v>25</v>
      </c>
      <c r="B14" s="6" t="s">
        <v>26</v>
      </c>
      <c r="C14" s="4"/>
    </row>
    <row r="15" spans="1:3" ht="22.05" customHeight="1" x14ac:dyDescent="0.3">
      <c r="A15" s="2" t="s">
        <v>27</v>
      </c>
      <c r="B15" s="6" t="s">
        <v>28</v>
      </c>
      <c r="C15" s="4"/>
    </row>
    <row r="16" spans="1:3" ht="22.05" customHeight="1" x14ac:dyDescent="0.3">
      <c r="A16" s="37" t="s">
        <v>29</v>
      </c>
      <c r="B16" s="37"/>
      <c r="C16" s="37"/>
    </row>
    <row r="17" spans="1:3" ht="22.05" customHeight="1" x14ac:dyDescent="0.3">
      <c r="A17" s="2" t="s">
        <v>30</v>
      </c>
      <c r="B17" s="3">
        <v>350</v>
      </c>
      <c r="C17" s="4" t="s">
        <v>31</v>
      </c>
    </row>
    <row r="18" spans="1:3" ht="22.05" customHeight="1" x14ac:dyDescent="0.3">
      <c r="A18" s="2" t="s">
        <v>32</v>
      </c>
      <c r="B18" s="3">
        <v>1200</v>
      </c>
      <c r="C18" s="4" t="s">
        <v>33</v>
      </c>
    </row>
    <row r="19" spans="1:3" ht="22.05" customHeight="1" x14ac:dyDescent="0.3">
      <c r="A19" s="2" t="s">
        <v>34</v>
      </c>
      <c r="B19" s="3">
        <v>800</v>
      </c>
      <c r="C19" s="4" t="s">
        <v>35</v>
      </c>
    </row>
    <row r="20" spans="1:3" ht="22.05" customHeight="1" x14ac:dyDescent="0.3">
      <c r="A20" s="2" t="s">
        <v>36</v>
      </c>
      <c r="B20" s="3">
        <v>400</v>
      </c>
      <c r="C20" s="4" t="s">
        <v>37</v>
      </c>
    </row>
    <row r="21" spans="1:3" ht="22.05" customHeight="1" x14ac:dyDescent="0.3">
      <c r="A21" s="2" t="s">
        <v>38</v>
      </c>
      <c r="B21" s="3">
        <v>250</v>
      </c>
      <c r="C21" s="4" t="s">
        <v>39</v>
      </c>
    </row>
    <row r="22" spans="1:3" ht="22.05" customHeight="1" x14ac:dyDescent="0.3">
      <c r="A22" s="2" t="s">
        <v>40</v>
      </c>
      <c r="B22" s="3">
        <v>450</v>
      </c>
      <c r="C22" s="4" t="s">
        <v>41</v>
      </c>
    </row>
    <row r="23" spans="1:3" ht="22.05" customHeight="1" x14ac:dyDescent="0.3">
      <c r="A23" s="2" t="s">
        <v>42</v>
      </c>
      <c r="B23" s="3">
        <v>350</v>
      </c>
      <c r="C23" s="4" t="s">
        <v>43</v>
      </c>
    </row>
    <row r="24" spans="1:3" ht="22.05" customHeight="1" x14ac:dyDescent="0.3">
      <c r="A24" s="2" t="s">
        <v>44</v>
      </c>
      <c r="B24" s="3">
        <v>400</v>
      </c>
      <c r="C24" s="4" t="s">
        <v>45</v>
      </c>
    </row>
    <row r="25" spans="1:3" ht="22.05" customHeight="1" x14ac:dyDescent="0.3">
      <c r="A25" s="2" t="s">
        <v>46</v>
      </c>
      <c r="B25" s="3">
        <v>150</v>
      </c>
      <c r="C25" s="4" t="s">
        <v>47</v>
      </c>
    </row>
    <row r="26" spans="1:3" ht="22.05" customHeight="1" x14ac:dyDescent="0.3">
      <c r="A26" s="2" t="s">
        <v>48</v>
      </c>
      <c r="B26" s="3">
        <v>350</v>
      </c>
      <c r="C26" s="4" t="s">
        <v>49</v>
      </c>
    </row>
    <row r="27" spans="1:3" ht="22.05" customHeight="1" x14ac:dyDescent="0.3">
      <c r="A27" s="2" t="s">
        <v>50</v>
      </c>
      <c r="B27" s="5">
        <v>0.05</v>
      </c>
      <c r="C27" s="4" t="s">
        <v>51</v>
      </c>
    </row>
    <row r="29" spans="1:3" ht="19.95" customHeight="1" x14ac:dyDescent="0.3">
      <c r="A29" s="37" t="s">
        <v>52</v>
      </c>
      <c r="B29" s="37"/>
      <c r="C29" s="37"/>
    </row>
    <row r="30" spans="1:3" ht="22.05" customHeight="1" x14ac:dyDescent="0.3">
      <c r="A30" s="2" t="s">
        <v>53</v>
      </c>
      <c r="B30" s="7">
        <f>'الافتراضات والمدخلات'!B4*'الافتراضات والمدخلات'!B5</f>
        <v>4000000</v>
      </c>
      <c r="C30" s="4" t="e">
        <f>المساحة * سعر المتر</f>
        <v>#NAME?</v>
      </c>
    </row>
    <row r="31" spans="1:3" ht="22.05" customHeight="1" x14ac:dyDescent="0.3">
      <c r="A31" s="2" t="s">
        <v>54</v>
      </c>
      <c r="B31" s="7">
        <f>'الافتراضات والمدخلات'!B4*'الافتراضات والمدخلات'!B6*0.9</f>
        <v>68400</v>
      </c>
      <c r="C31" s="4">
        <v>0</v>
      </c>
    </row>
    <row r="32" spans="1:3" ht="22.05" customHeight="1" x14ac:dyDescent="0.3">
      <c r="A32" s="2" t="s">
        <v>55</v>
      </c>
      <c r="B32" s="7">
        <f>('الافتراضات والمدخلات'!B4*'الافتراضات والمدخلات'!B6*0.9)/'الافتراضات والمدخلات'!B7</f>
        <v>855000</v>
      </c>
      <c r="C32" s="4" t="e">
        <f>NOI / معدل الرسملة</f>
        <v>#NAME?</v>
      </c>
    </row>
    <row r="33" spans="1:3" ht="22.05" customHeight="1" x14ac:dyDescent="0.3">
      <c r="A33" s="2" t="s">
        <v>56</v>
      </c>
      <c r="B33" s="7">
        <f>B4*SUM(B17:B26)*(1+B27)</f>
        <v>987000</v>
      </c>
      <c r="C33" s="4" t="e">
        <f>المساحة * مجموع معدلات البنود * (1+نسبة الطوارئ)</f>
        <v>#NAME?</v>
      </c>
    </row>
    <row r="34" spans="1:3" ht="22.05" customHeight="1" x14ac:dyDescent="0.3">
      <c r="A34" s="2" t="s">
        <v>57</v>
      </c>
      <c r="B34" s="8">
        <f>(B8/60)*B4*SUM(B17:B26)</f>
        <v>250666.66666666669</v>
      </c>
      <c r="C34" s="4" t="e">
        <f>(عمر المبنى÷60) * المساحة * مجموع معدلات البنود</f>
        <v>#NAME?</v>
      </c>
    </row>
  </sheetData>
  <mergeCells count="4">
    <mergeCell ref="A1:C1"/>
    <mergeCell ref="A2:C2"/>
    <mergeCell ref="A16:C16"/>
    <mergeCell ref="A29:C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3"/>
  <sheetViews>
    <sheetView rightToLeft="1" workbookViewId="0">
      <selection sqref="A1:I1"/>
    </sheetView>
  </sheetViews>
  <sheetFormatPr defaultRowHeight="14.4" x14ac:dyDescent="0.3"/>
  <cols>
    <col min="1" max="1" width="3.6640625" customWidth="1"/>
    <col min="2" max="3" width="22.6640625" customWidth="1"/>
    <col min="4" max="7" width="20.6640625" customWidth="1"/>
    <col min="8" max="9" width="18.6640625" customWidth="1"/>
  </cols>
  <sheetData>
    <row r="1" spans="1:9" ht="37.950000000000003" customHeight="1" x14ac:dyDescent="0.3">
      <c r="A1" s="41" t="s">
        <v>58</v>
      </c>
      <c r="B1" s="41"/>
      <c r="C1" s="41"/>
      <c r="D1" s="41"/>
      <c r="E1" s="41"/>
      <c r="F1" s="41"/>
      <c r="G1" s="41"/>
      <c r="H1" s="41"/>
      <c r="I1" s="41"/>
    </row>
    <row r="2" spans="1:9" ht="22.05" customHeight="1" x14ac:dyDescent="0.3">
      <c r="A2" s="42" t="s">
        <v>59</v>
      </c>
      <c r="B2" s="42"/>
      <c r="C2" s="42"/>
      <c r="D2" s="42"/>
      <c r="E2" s="42"/>
      <c r="F2" s="42"/>
      <c r="G2" s="42"/>
      <c r="H2" s="42"/>
      <c r="I2" s="42"/>
    </row>
    <row r="3" spans="1:9" ht="4.05" customHeight="1" x14ac:dyDescent="0.3">
      <c r="A3" s="43"/>
      <c r="B3" s="43"/>
      <c r="C3" s="43"/>
      <c r="D3" s="43"/>
      <c r="E3" s="43"/>
      <c r="F3" s="43"/>
      <c r="G3" s="43"/>
      <c r="H3" s="43"/>
      <c r="I3" s="43"/>
    </row>
    <row r="4" spans="1:9" ht="22.05" customHeight="1" x14ac:dyDescent="0.3">
      <c r="A4" s="38" t="s">
        <v>60</v>
      </c>
      <c r="B4" s="38"/>
      <c r="C4" s="38"/>
      <c r="D4" s="38"/>
      <c r="E4" s="38"/>
      <c r="F4" s="38"/>
      <c r="G4" s="38"/>
      <c r="H4" s="38"/>
      <c r="I4" s="38"/>
    </row>
    <row r="5" spans="1:9" ht="20.399999999999999" x14ac:dyDescent="0.3">
      <c r="A5" s="2" t="s">
        <v>61</v>
      </c>
      <c r="B5" s="10" t="s">
        <v>62</v>
      </c>
      <c r="C5" s="2" t="s">
        <v>63</v>
      </c>
      <c r="D5" s="10" t="s">
        <v>64</v>
      </c>
      <c r="E5" s="2" t="s">
        <v>65</v>
      </c>
      <c r="F5" s="10" t="s">
        <v>66</v>
      </c>
      <c r="G5" s="2" t="s">
        <v>67</v>
      </c>
      <c r="H5" s="10" t="s">
        <v>68</v>
      </c>
    </row>
    <row r="6" spans="1:9" ht="20.399999999999999" x14ac:dyDescent="0.3">
      <c r="A6" s="2" t="s">
        <v>69</v>
      </c>
      <c r="B6" s="40" t="s">
        <v>70</v>
      </c>
      <c r="C6" s="40"/>
      <c r="D6" s="40"/>
      <c r="E6" s="2" t="s">
        <v>71</v>
      </c>
      <c r="F6" s="10" t="s">
        <v>68</v>
      </c>
      <c r="G6" s="2" t="s">
        <v>72</v>
      </c>
      <c r="H6" s="10" t="s">
        <v>73</v>
      </c>
    </row>
    <row r="7" spans="1:9" ht="22.05" customHeight="1" x14ac:dyDescent="0.3">
      <c r="A7" s="38" t="s">
        <v>74</v>
      </c>
      <c r="B7" s="38"/>
      <c r="C7" s="38"/>
      <c r="D7" s="38"/>
      <c r="E7" s="38"/>
      <c r="F7" s="38"/>
      <c r="G7" s="38"/>
      <c r="H7" s="38"/>
      <c r="I7" s="38"/>
    </row>
    <row r="8" spans="1:9" ht="20.399999999999999" x14ac:dyDescent="0.3">
      <c r="A8" s="2" t="s">
        <v>75</v>
      </c>
      <c r="B8" s="40" t="s">
        <v>24</v>
      </c>
      <c r="C8" s="40"/>
      <c r="D8" s="40"/>
      <c r="E8" s="2" t="s">
        <v>25</v>
      </c>
      <c r="F8" s="10" t="s">
        <v>26</v>
      </c>
      <c r="G8" s="2" t="s">
        <v>76</v>
      </c>
      <c r="H8" s="10" t="s">
        <v>28</v>
      </c>
    </row>
    <row r="9" spans="1:9" ht="20.399999999999999" x14ac:dyDescent="0.3">
      <c r="A9" s="2" t="s">
        <v>5</v>
      </c>
      <c r="B9" s="11">
        <v>200</v>
      </c>
      <c r="C9" s="2" t="s">
        <v>77</v>
      </c>
      <c r="D9" s="12">
        <v>3</v>
      </c>
      <c r="E9" s="2" t="s">
        <v>78</v>
      </c>
      <c r="F9" s="12">
        <v>3</v>
      </c>
      <c r="G9" s="2" t="s">
        <v>17</v>
      </c>
      <c r="H9" s="12">
        <v>2010</v>
      </c>
    </row>
    <row r="10" spans="1:9" ht="21.6" x14ac:dyDescent="0.3">
      <c r="A10" s="2" t="s">
        <v>13</v>
      </c>
      <c r="B10" s="12">
        <v>16</v>
      </c>
      <c r="C10" s="2" t="s">
        <v>79</v>
      </c>
      <c r="D10" s="13">
        <v>20000</v>
      </c>
      <c r="E10" s="2" t="s">
        <v>80</v>
      </c>
      <c r="F10" s="13">
        <v>380</v>
      </c>
      <c r="G10" s="2" t="s">
        <v>81</v>
      </c>
      <c r="H10" s="14">
        <v>0.08</v>
      </c>
    </row>
    <row r="12" spans="1:9" ht="22.05" customHeight="1" x14ac:dyDescent="0.3">
      <c r="A12" s="38" t="s">
        <v>82</v>
      </c>
      <c r="B12" s="38"/>
      <c r="C12" s="38"/>
      <c r="D12" s="38"/>
      <c r="E12" s="38"/>
      <c r="F12" s="38"/>
      <c r="G12" s="38"/>
      <c r="H12" s="38"/>
      <c r="I12" s="38"/>
    </row>
    <row r="13" spans="1:9" ht="21.6" x14ac:dyDescent="0.3">
      <c r="A13" s="2" t="s">
        <v>83</v>
      </c>
      <c r="B13" s="13">
        <v>27392</v>
      </c>
      <c r="C13" s="2" t="s">
        <v>84</v>
      </c>
      <c r="D13" s="13">
        <v>23583.45</v>
      </c>
      <c r="E13" s="2" t="s">
        <v>85</v>
      </c>
      <c r="F13" s="13">
        <v>17505</v>
      </c>
    </row>
    <row r="15" spans="1:9" ht="22.05" customHeight="1" x14ac:dyDescent="0.3">
      <c r="A15" s="38" t="s">
        <v>86</v>
      </c>
      <c r="B15" s="38"/>
      <c r="C15" s="38"/>
      <c r="D15" s="38"/>
      <c r="E15" s="38"/>
      <c r="F15" s="38"/>
      <c r="G15" s="38"/>
      <c r="H15" s="38"/>
      <c r="I15" s="38"/>
    </row>
    <row r="16" spans="1:9" ht="30" customHeight="1" x14ac:dyDescent="0.3">
      <c r="A16" s="39" t="s">
        <v>87</v>
      </c>
      <c r="B16" s="39"/>
      <c r="C16" s="39"/>
      <c r="D16" s="39"/>
      <c r="E16" s="39"/>
      <c r="F16" s="39"/>
      <c r="G16" s="39"/>
      <c r="H16" s="39"/>
      <c r="I16" s="39"/>
    </row>
    <row r="17" spans="1:9" ht="30" customHeight="1" x14ac:dyDescent="0.3">
      <c r="A17" s="39"/>
      <c r="B17" s="39"/>
      <c r="C17" s="39"/>
      <c r="D17" s="39"/>
      <c r="E17" s="39"/>
      <c r="F17" s="39"/>
      <c r="G17" s="39"/>
      <c r="H17" s="39"/>
      <c r="I17" s="39"/>
    </row>
    <row r="19" spans="1:9" ht="22.05" customHeight="1" x14ac:dyDescent="0.3">
      <c r="A19" s="38" t="s">
        <v>88</v>
      </c>
      <c r="B19" s="38"/>
      <c r="C19" s="38"/>
      <c r="D19" s="38"/>
      <c r="E19" s="38"/>
      <c r="F19" s="38"/>
      <c r="G19" s="38"/>
      <c r="H19" s="38"/>
      <c r="I19" s="38"/>
    </row>
    <row r="20" spans="1:9" ht="20.399999999999999" x14ac:dyDescent="0.3">
      <c r="A20" s="2" t="s">
        <v>89</v>
      </c>
      <c r="B20" s="2" t="s">
        <v>90</v>
      </c>
      <c r="C20" s="2" t="s">
        <v>91</v>
      </c>
      <c r="E20" s="2" t="s">
        <v>92</v>
      </c>
    </row>
    <row r="21" spans="1:9" ht="20.399999999999999" x14ac:dyDescent="0.3">
      <c r="A21" s="12" t="s">
        <v>93</v>
      </c>
      <c r="B21" s="11">
        <v>21956</v>
      </c>
      <c r="C21" s="12">
        <v>31.054359999999999</v>
      </c>
      <c r="E21" s="12">
        <v>29.977910000000001</v>
      </c>
    </row>
    <row r="22" spans="1:9" ht="20.399999999999999" x14ac:dyDescent="0.3">
      <c r="A22" s="12" t="s">
        <v>94</v>
      </c>
      <c r="B22" s="11">
        <v>22000</v>
      </c>
      <c r="C22" s="12">
        <v>31.053830000000001</v>
      </c>
      <c r="E22" s="12">
        <v>29.977910000000001</v>
      </c>
    </row>
    <row r="23" spans="1:9" ht="20.399999999999999" x14ac:dyDescent="0.3">
      <c r="A23" s="12" t="s">
        <v>95</v>
      </c>
      <c r="B23" s="11">
        <v>21885</v>
      </c>
      <c r="C23" s="12">
        <v>31.046469999999999</v>
      </c>
      <c r="E23" s="12">
        <v>29.97766</v>
      </c>
    </row>
    <row r="24" spans="1:9" ht="20.399999999999999" x14ac:dyDescent="0.3">
      <c r="A24" s="12" t="s">
        <v>96</v>
      </c>
      <c r="B24" s="11">
        <v>21436</v>
      </c>
      <c r="C24" s="12">
        <v>31.042999999999999</v>
      </c>
      <c r="E24" s="12">
        <v>29.977900000000002</v>
      </c>
    </row>
    <row r="25" spans="1:9" ht="20.399999999999999" x14ac:dyDescent="0.3">
      <c r="A25" s="12" t="s">
        <v>97</v>
      </c>
      <c r="B25" s="11">
        <v>21368</v>
      </c>
      <c r="C25" s="12">
        <v>31.042000000000002</v>
      </c>
      <c r="E25" s="12">
        <v>29.977900000000002</v>
      </c>
    </row>
    <row r="26" spans="1:9" ht="20.399999999999999" x14ac:dyDescent="0.3">
      <c r="A26" s="12" t="s">
        <v>98</v>
      </c>
      <c r="B26" s="11">
        <v>26208</v>
      </c>
      <c r="C26" s="12">
        <v>31.058</v>
      </c>
      <c r="E26" s="12">
        <v>29.977599999999999</v>
      </c>
    </row>
    <row r="27" spans="1:9" ht="20.399999999999999" x14ac:dyDescent="0.3">
      <c r="A27" s="12" t="s">
        <v>99</v>
      </c>
      <c r="B27" s="11">
        <v>25773</v>
      </c>
      <c r="C27" s="12">
        <v>31.056000000000001</v>
      </c>
      <c r="E27" s="12">
        <v>29.977499999999999</v>
      </c>
    </row>
    <row r="28" spans="1:9" ht="20.399999999999999" x14ac:dyDescent="0.3">
      <c r="A28" s="12" t="s">
        <v>100</v>
      </c>
      <c r="B28" s="11">
        <v>26855</v>
      </c>
      <c r="C28" s="12">
        <v>31.047000000000001</v>
      </c>
      <c r="E28" s="12">
        <v>29.978000000000002</v>
      </c>
    </row>
    <row r="29" spans="1:9" ht="20.399999999999999" x14ac:dyDescent="0.3">
      <c r="A29" s="12" t="s">
        <v>101</v>
      </c>
      <c r="B29" s="11">
        <v>26925</v>
      </c>
      <c r="C29" s="12">
        <v>31.047499999999999</v>
      </c>
      <c r="E29" s="12">
        <v>29.978100000000001</v>
      </c>
    </row>
    <row r="30" spans="1:9" ht="20.399999999999999" x14ac:dyDescent="0.3">
      <c r="A30" s="12" t="s">
        <v>102</v>
      </c>
      <c r="B30" s="11">
        <v>23584</v>
      </c>
      <c r="C30" s="12">
        <v>31.059000000000001</v>
      </c>
      <c r="E30" s="12">
        <v>29.975999999999999</v>
      </c>
    </row>
    <row r="31" spans="1:9" ht="20.399999999999999" x14ac:dyDescent="0.3">
      <c r="A31" s="12" t="s">
        <v>103</v>
      </c>
      <c r="B31" s="11">
        <v>24303</v>
      </c>
      <c r="C31" s="12">
        <v>31.056999999999999</v>
      </c>
      <c r="E31" s="12">
        <v>29.976199999999999</v>
      </c>
    </row>
    <row r="32" spans="1:9" ht="20.399999999999999" x14ac:dyDescent="0.3">
      <c r="A32" s="12" t="s">
        <v>104</v>
      </c>
      <c r="B32" s="11">
        <v>24849</v>
      </c>
      <c r="C32" s="12">
        <v>31.055</v>
      </c>
      <c r="E32" s="12">
        <v>29.976500000000001</v>
      </c>
    </row>
    <row r="33" spans="1:9" ht="20.399999999999999" x14ac:dyDescent="0.3">
      <c r="A33" s="12" t="s">
        <v>105</v>
      </c>
      <c r="B33" s="11">
        <v>21749</v>
      </c>
      <c r="C33" s="12">
        <v>31.054359999999999</v>
      </c>
      <c r="E33" s="12">
        <v>29.977910000000001</v>
      </c>
    </row>
    <row r="34" spans="1:9" ht="20.399999999999999" x14ac:dyDescent="0.3">
      <c r="A34" s="12" t="s">
        <v>106</v>
      </c>
      <c r="B34" s="11">
        <v>21617</v>
      </c>
      <c r="C34" s="12">
        <v>31.044370000000001</v>
      </c>
      <c r="E34" s="12">
        <v>29.977910000000001</v>
      </c>
    </row>
    <row r="35" spans="1:9" ht="20.399999999999999" x14ac:dyDescent="0.3">
      <c r="A35" s="12" t="s">
        <v>107</v>
      </c>
      <c r="B35" s="11">
        <v>17505</v>
      </c>
      <c r="C35" s="12">
        <v>31.048999999999999</v>
      </c>
      <c r="E35" s="12">
        <v>29.9785</v>
      </c>
    </row>
    <row r="36" spans="1:9" ht="21.6" x14ac:dyDescent="0.3">
      <c r="A36" s="2" t="s">
        <v>108</v>
      </c>
      <c r="B36" s="13">
        <v>23583.449837021941</v>
      </c>
    </row>
    <row r="38" spans="1:9" ht="22.05" customHeight="1" x14ac:dyDescent="0.3">
      <c r="A38" s="38" t="s">
        <v>109</v>
      </c>
      <c r="B38" s="38"/>
      <c r="C38" s="38"/>
      <c r="D38" s="38"/>
      <c r="E38" s="38"/>
      <c r="F38" s="38"/>
      <c r="G38" s="38"/>
      <c r="H38" s="38"/>
      <c r="I38" s="38"/>
    </row>
    <row r="39" spans="1:9" ht="21.6" x14ac:dyDescent="0.3">
      <c r="A39" s="16" t="s">
        <v>110</v>
      </c>
      <c r="C39" s="16" t="s">
        <v>111</v>
      </c>
    </row>
    <row r="40" spans="1:9" ht="20.399999999999999" x14ac:dyDescent="0.3">
      <c r="A40" s="2" t="s">
        <v>112</v>
      </c>
      <c r="B40" s="11">
        <v>0.91087899999999999</v>
      </c>
      <c r="C40" s="2" t="s">
        <v>113</v>
      </c>
      <c r="D40" s="2" t="s">
        <v>114</v>
      </c>
      <c r="E40" s="12">
        <v>20</v>
      </c>
    </row>
    <row r="41" spans="1:9" ht="20.399999999999999" x14ac:dyDescent="0.3">
      <c r="A41" s="2" t="s">
        <v>115</v>
      </c>
      <c r="B41" s="11">
        <v>0.82969999999999999</v>
      </c>
      <c r="C41" s="2" t="s">
        <v>116</v>
      </c>
      <c r="D41" s="11">
        <v>0.79769999999999996</v>
      </c>
    </row>
    <row r="42" spans="1:9" ht="21.6" x14ac:dyDescent="0.3">
      <c r="A42" s="16" t="s">
        <v>117</v>
      </c>
      <c r="B42" s="16" t="s">
        <v>118</v>
      </c>
      <c r="C42" s="16" t="s">
        <v>119</v>
      </c>
    </row>
    <row r="43" spans="1:9" ht="20.399999999999999" x14ac:dyDescent="0.3">
      <c r="A43" s="2" t="s">
        <v>15</v>
      </c>
      <c r="B43" s="11">
        <v>-146.37</v>
      </c>
      <c r="C43" s="11">
        <v>0.26700000000000002</v>
      </c>
    </row>
    <row r="44" spans="1:9" ht="20.399999999999999" x14ac:dyDescent="0.3">
      <c r="A44" s="2" t="s">
        <v>120</v>
      </c>
      <c r="B44" s="11">
        <v>-4.4000000000000004</v>
      </c>
      <c r="C44" s="11">
        <v>0.15179999999999999</v>
      </c>
    </row>
    <row r="45" spans="1:9" ht="20.399999999999999" x14ac:dyDescent="0.3">
      <c r="A45" s="2" t="s">
        <v>17</v>
      </c>
      <c r="B45" s="11">
        <v>-399.5</v>
      </c>
      <c r="C45" s="11">
        <v>0</v>
      </c>
    </row>
    <row r="46" spans="1:9" ht="21.6" x14ac:dyDescent="0.3">
      <c r="A46" s="17" t="s">
        <v>121</v>
      </c>
      <c r="B46" s="13">
        <v>22984.495381405111</v>
      </c>
    </row>
    <row r="48" spans="1:9" ht="22.05" customHeight="1" x14ac:dyDescent="0.3">
      <c r="A48" s="38" t="s">
        <v>122</v>
      </c>
      <c r="B48" s="38"/>
      <c r="C48" s="38"/>
      <c r="D48" s="38"/>
      <c r="E48" s="38"/>
      <c r="F48" s="38"/>
      <c r="G48" s="38"/>
      <c r="H48" s="38"/>
      <c r="I48" s="38"/>
    </row>
    <row r="49" spans="1:9" ht="25.05" customHeight="1" x14ac:dyDescent="0.3">
      <c r="A49" s="39" t="s">
        <v>123</v>
      </c>
      <c r="B49" s="39"/>
      <c r="C49" s="39"/>
      <c r="D49" s="39"/>
      <c r="E49" s="39"/>
      <c r="F49" s="39"/>
      <c r="G49" s="39"/>
      <c r="H49" s="39"/>
      <c r="I49" s="39"/>
    </row>
    <row r="50" spans="1:9" ht="25.05" customHeight="1" x14ac:dyDescent="0.3">
      <c r="A50" s="39"/>
      <c r="B50" s="39"/>
      <c r="C50" s="39"/>
      <c r="D50" s="39"/>
      <c r="E50" s="39"/>
      <c r="F50" s="39"/>
      <c r="G50" s="39"/>
      <c r="H50" s="39"/>
      <c r="I50" s="39"/>
    </row>
    <row r="51" spans="1:9" ht="25.05" customHeight="1" x14ac:dyDescent="0.3">
      <c r="A51" s="39"/>
      <c r="B51" s="39"/>
      <c r="C51" s="39"/>
      <c r="D51" s="39"/>
      <c r="E51" s="39"/>
      <c r="F51" s="39"/>
      <c r="G51" s="39"/>
      <c r="H51" s="39"/>
      <c r="I51" s="39"/>
    </row>
    <row r="53" spans="1:9" ht="20.399999999999999" x14ac:dyDescent="0.3">
      <c r="A53" s="2" t="s">
        <v>124</v>
      </c>
      <c r="B53" s="10" t="s">
        <v>62</v>
      </c>
      <c r="E53" s="2" t="s">
        <v>63</v>
      </c>
      <c r="F53" s="10" t="s">
        <v>64</v>
      </c>
      <c r="H53" s="10" t="s">
        <v>125</v>
      </c>
    </row>
  </sheetData>
  <mergeCells count="14">
    <mergeCell ref="A1:I1"/>
    <mergeCell ref="A2:I2"/>
    <mergeCell ref="A3:I3"/>
    <mergeCell ref="A4:I4"/>
    <mergeCell ref="B6:D6"/>
    <mergeCell ref="A19:I19"/>
    <mergeCell ref="A38:I38"/>
    <mergeCell ref="A48:I48"/>
    <mergeCell ref="A49:I51"/>
    <mergeCell ref="A7:I7"/>
    <mergeCell ref="B8:D8"/>
    <mergeCell ref="A12:I12"/>
    <mergeCell ref="A15:I15"/>
    <mergeCell ref="A16:I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28"/>
  <sheetViews>
    <sheetView rightToLeft="1" topLeftCell="A7" workbookViewId="0">
      <selection activeCell="C22" sqref="C22"/>
    </sheetView>
  </sheetViews>
  <sheetFormatPr defaultRowHeight="14.4" x14ac:dyDescent="0.3"/>
  <cols>
    <col min="1" max="1" width="28.6640625" customWidth="1"/>
    <col min="2" max="2" width="18.6640625" customWidth="1"/>
    <col min="3" max="3" width="24.5546875" customWidth="1"/>
    <col min="4" max="7" width="16.6640625" customWidth="1"/>
  </cols>
  <sheetData>
    <row r="1" spans="1:7" ht="31.95" customHeight="1" x14ac:dyDescent="0.3">
      <c r="A1" s="41" t="s">
        <v>126</v>
      </c>
      <c r="B1" s="41"/>
      <c r="C1" s="41"/>
      <c r="D1" s="41"/>
      <c r="E1" s="41"/>
      <c r="F1" s="41"/>
      <c r="G1" s="41"/>
    </row>
    <row r="2" spans="1:7" ht="19.95" customHeight="1" x14ac:dyDescent="0.3">
      <c r="A2" s="42" t="s">
        <v>127</v>
      </c>
      <c r="B2" s="42"/>
      <c r="C2" s="42"/>
      <c r="D2" s="42"/>
      <c r="E2" s="42"/>
      <c r="F2" s="42"/>
      <c r="G2" s="42"/>
    </row>
    <row r="4" spans="1:7" ht="28.05" customHeight="1" x14ac:dyDescent="0.3">
      <c r="A4" s="17" t="s">
        <v>128</v>
      </c>
      <c r="B4" s="18" t="s">
        <v>129</v>
      </c>
      <c r="C4" s="18" t="s">
        <v>130</v>
      </c>
      <c r="D4" s="18" t="s">
        <v>131</v>
      </c>
      <c r="E4" s="18" t="s">
        <v>132</v>
      </c>
      <c r="F4" s="18" t="s">
        <v>133</v>
      </c>
      <c r="G4" s="18" t="s">
        <v>134</v>
      </c>
    </row>
    <row r="5" spans="1:7" ht="20.399999999999999" x14ac:dyDescent="0.3">
      <c r="A5" s="19" t="s">
        <v>89</v>
      </c>
      <c r="B5" s="12" t="s">
        <v>135</v>
      </c>
      <c r="C5" s="12" t="s">
        <v>97</v>
      </c>
      <c r="D5" s="12" t="s">
        <v>96</v>
      </c>
      <c r="E5" s="12" t="s">
        <v>106</v>
      </c>
      <c r="F5" s="12" t="s">
        <v>105</v>
      </c>
      <c r="G5" s="12" t="s">
        <v>95</v>
      </c>
    </row>
    <row r="6" spans="1:7" ht="20.399999999999999" x14ac:dyDescent="0.3">
      <c r="A6" s="20" t="s">
        <v>77</v>
      </c>
      <c r="B6" s="12">
        <v>3</v>
      </c>
      <c r="C6" s="12">
        <v>4</v>
      </c>
      <c r="D6" s="12">
        <v>3</v>
      </c>
      <c r="E6" s="12">
        <v>1</v>
      </c>
      <c r="F6" s="12">
        <v>4</v>
      </c>
      <c r="G6" s="12">
        <v>2</v>
      </c>
    </row>
    <row r="7" spans="1:7" ht="20.399999999999999" x14ac:dyDescent="0.3">
      <c r="A7" s="19" t="s">
        <v>78</v>
      </c>
      <c r="B7" s="12">
        <v>3</v>
      </c>
      <c r="C7" s="12">
        <v>8</v>
      </c>
      <c r="D7" s="12">
        <v>8</v>
      </c>
      <c r="E7" s="12">
        <v>6</v>
      </c>
      <c r="F7" s="12">
        <v>6</v>
      </c>
      <c r="G7" s="12">
        <v>6</v>
      </c>
    </row>
    <row r="8" spans="1:7" ht="20.399999999999999" x14ac:dyDescent="0.3">
      <c r="A8" s="20" t="s">
        <v>5</v>
      </c>
      <c r="B8" s="12">
        <v>200</v>
      </c>
      <c r="C8" s="11">
        <v>92</v>
      </c>
      <c r="D8" s="11">
        <v>92</v>
      </c>
      <c r="E8" s="11">
        <v>70</v>
      </c>
      <c r="F8" s="11">
        <v>72</v>
      </c>
      <c r="G8" s="11">
        <v>72</v>
      </c>
    </row>
    <row r="9" spans="1:7" ht="20.399999999999999" x14ac:dyDescent="0.3">
      <c r="A9" s="19" t="s">
        <v>17</v>
      </c>
      <c r="B9" s="12">
        <v>2010</v>
      </c>
      <c r="C9" s="12">
        <v>2017</v>
      </c>
      <c r="D9" s="12">
        <v>2017</v>
      </c>
      <c r="E9" s="12">
        <v>2017</v>
      </c>
      <c r="F9" s="12">
        <v>2016</v>
      </c>
      <c r="G9" s="12">
        <v>2016</v>
      </c>
    </row>
    <row r="10" spans="1:7" ht="21.6" x14ac:dyDescent="0.3">
      <c r="A10" s="20" t="s">
        <v>136</v>
      </c>
      <c r="B10" s="12">
        <v>20000</v>
      </c>
      <c r="C10" s="13">
        <v>21368</v>
      </c>
      <c r="D10" s="13">
        <v>21436</v>
      </c>
      <c r="E10" s="13">
        <v>21617</v>
      </c>
      <c r="F10" s="13">
        <v>21749</v>
      </c>
      <c r="G10" s="13">
        <v>21885</v>
      </c>
    </row>
    <row r="11" spans="1:7" ht="20.399999999999999" x14ac:dyDescent="0.3">
      <c r="A11" s="19" t="s">
        <v>137</v>
      </c>
      <c r="B11" s="12" t="s">
        <v>135</v>
      </c>
      <c r="C11" s="14">
        <v>0.05</v>
      </c>
      <c r="D11" s="14">
        <v>0.05</v>
      </c>
      <c r="E11" s="14">
        <v>0.05</v>
      </c>
      <c r="F11" s="14">
        <v>0.05</v>
      </c>
      <c r="G11" s="14">
        <v>0.05</v>
      </c>
    </row>
    <row r="12" spans="1:7" ht="20.399999999999999" x14ac:dyDescent="0.3">
      <c r="A12" s="20" t="s">
        <v>138</v>
      </c>
      <c r="B12" s="12" t="s">
        <v>135</v>
      </c>
      <c r="C12" s="14">
        <v>0</v>
      </c>
      <c r="D12" s="14">
        <v>0</v>
      </c>
      <c r="E12" s="14">
        <v>0</v>
      </c>
      <c r="F12" s="14">
        <v>0</v>
      </c>
      <c r="G12" s="14">
        <v>0</v>
      </c>
    </row>
    <row r="13" spans="1:7" ht="20.399999999999999" x14ac:dyDescent="0.3">
      <c r="A13" s="19" t="s">
        <v>139</v>
      </c>
      <c r="B13" s="12" t="s">
        <v>135</v>
      </c>
      <c r="C13" s="14">
        <v>0.05</v>
      </c>
      <c r="D13" s="14">
        <v>0.05</v>
      </c>
      <c r="E13" s="14">
        <v>0.05</v>
      </c>
      <c r="F13" s="14">
        <v>0.05</v>
      </c>
      <c r="G13" s="14">
        <v>0.05</v>
      </c>
    </row>
    <row r="14" spans="1:7" ht="20.399999999999999" x14ac:dyDescent="0.3">
      <c r="A14" s="20" t="s">
        <v>140</v>
      </c>
      <c r="B14" s="12" t="s">
        <v>135</v>
      </c>
      <c r="C14" s="14">
        <v>0.02</v>
      </c>
      <c r="D14" s="14">
        <v>0</v>
      </c>
      <c r="E14" s="14">
        <v>-0.02</v>
      </c>
      <c r="F14" s="14">
        <v>0.02</v>
      </c>
      <c r="G14" s="14">
        <v>0</v>
      </c>
    </row>
    <row r="15" spans="1:7" ht="20.399999999999999" x14ac:dyDescent="0.3">
      <c r="A15" s="19" t="s">
        <v>141</v>
      </c>
      <c r="B15" s="12" t="s">
        <v>135</v>
      </c>
      <c r="C15" s="14">
        <v>0</v>
      </c>
      <c r="D15" s="14">
        <v>0</v>
      </c>
      <c r="E15" s="14">
        <v>0</v>
      </c>
      <c r="F15" s="14">
        <v>0</v>
      </c>
      <c r="G15" s="14">
        <v>0</v>
      </c>
    </row>
    <row r="16" spans="1:7" ht="20.399999999999999" x14ac:dyDescent="0.3">
      <c r="A16" s="20" t="s">
        <v>142</v>
      </c>
      <c r="B16" s="12" t="s">
        <v>135</v>
      </c>
      <c r="C16" s="14">
        <v>0.12</v>
      </c>
      <c r="D16" s="14">
        <v>0.1</v>
      </c>
      <c r="E16" s="14">
        <v>0.08</v>
      </c>
      <c r="F16" s="14">
        <v>0.12</v>
      </c>
      <c r="G16" s="14">
        <v>0.1</v>
      </c>
    </row>
    <row r="17" spans="1:7" ht="21.6" x14ac:dyDescent="0.3">
      <c r="A17" s="19" t="s">
        <v>143</v>
      </c>
      <c r="B17" s="12">
        <v>20000</v>
      </c>
      <c r="C17" s="13">
        <v>23932.16</v>
      </c>
      <c r="D17" s="13">
        <v>23579.599999999999</v>
      </c>
      <c r="E17" s="13">
        <v>23346.36</v>
      </c>
      <c r="F17" s="13">
        <v>24358.880000000001</v>
      </c>
      <c r="G17" s="13">
        <v>24073.5</v>
      </c>
    </row>
    <row r="18" spans="1:7" ht="20.399999999999999" x14ac:dyDescent="0.3">
      <c r="A18" s="20" t="s">
        <v>144</v>
      </c>
      <c r="B18" s="12" t="s">
        <v>145</v>
      </c>
      <c r="C18" s="14">
        <v>-0.05</v>
      </c>
      <c r="D18" s="14">
        <v>-0.05</v>
      </c>
      <c r="E18" s="14">
        <v>-0.05</v>
      </c>
      <c r="F18" s="14">
        <v>-0.05</v>
      </c>
      <c r="G18" s="14">
        <v>-0.05</v>
      </c>
    </row>
    <row r="19" spans="1:7" ht="21.6" x14ac:dyDescent="0.3">
      <c r="A19" s="19" t="s">
        <v>146</v>
      </c>
      <c r="B19" s="12">
        <v>20000</v>
      </c>
      <c r="C19" s="13">
        <v>22735.552</v>
      </c>
      <c r="D19" s="13">
        <v>22400.62</v>
      </c>
      <c r="E19" s="13">
        <v>22179.042000000001</v>
      </c>
      <c r="F19" s="13">
        <v>23140.936000000002</v>
      </c>
      <c r="G19" s="13">
        <v>22869.825000000001</v>
      </c>
    </row>
    <row r="21" spans="1:7" ht="21.6" x14ac:dyDescent="0.3">
      <c r="A21" s="44" t="s">
        <v>147</v>
      </c>
      <c r="B21" s="44"/>
      <c r="C21" s="13">
        <v>22665.195</v>
      </c>
    </row>
    <row r="22" spans="1:7" ht="27" x14ac:dyDescent="0.3">
      <c r="A22" s="44" t="s">
        <v>148</v>
      </c>
      <c r="B22" s="44"/>
      <c r="C22" s="21">
        <v>4533039</v>
      </c>
    </row>
    <row r="25" spans="1:7" ht="21.6" x14ac:dyDescent="0.3">
      <c r="A25" s="38" t="s">
        <v>149</v>
      </c>
      <c r="B25" s="38"/>
      <c r="C25" s="38"/>
      <c r="D25" s="38"/>
      <c r="E25" s="38"/>
      <c r="F25" s="38"/>
      <c r="G25" s="38"/>
    </row>
    <row r="26" spans="1:7" ht="25.05" customHeight="1" x14ac:dyDescent="0.3">
      <c r="A26" s="39" t="s">
        <v>150</v>
      </c>
      <c r="B26" s="39"/>
      <c r="C26" s="39"/>
      <c r="D26" s="39"/>
      <c r="E26" s="39"/>
      <c r="F26" s="39"/>
      <c r="G26" s="39"/>
    </row>
    <row r="27" spans="1:7" ht="25.05" customHeight="1" x14ac:dyDescent="0.3">
      <c r="A27" s="39"/>
      <c r="B27" s="39"/>
      <c r="C27" s="39"/>
      <c r="D27" s="39"/>
      <c r="E27" s="39"/>
      <c r="F27" s="39"/>
      <c r="G27" s="39"/>
    </row>
    <row r="28" spans="1:7" ht="25.05" customHeight="1" x14ac:dyDescent="0.3">
      <c r="A28" s="39"/>
      <c r="B28" s="39"/>
      <c r="C28" s="39"/>
      <c r="D28" s="39"/>
      <c r="E28" s="39"/>
      <c r="F28" s="39"/>
      <c r="G28" s="39"/>
    </row>
  </sheetData>
  <mergeCells count="6">
    <mergeCell ref="A26:G28"/>
    <mergeCell ref="A1:G1"/>
    <mergeCell ref="A2:G2"/>
    <mergeCell ref="A21:B21"/>
    <mergeCell ref="A22:B22"/>
    <mergeCell ref="A25:G2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1"/>
  <sheetViews>
    <sheetView rightToLeft="1" workbookViewId="0">
      <selection activeCell="B11" sqref="B11"/>
    </sheetView>
  </sheetViews>
  <sheetFormatPr defaultRowHeight="14.4" x14ac:dyDescent="0.3"/>
  <cols>
    <col min="1" max="1" width="28.6640625" customWidth="1"/>
    <col min="2" max="7" width="16.6640625" customWidth="1"/>
  </cols>
  <sheetData>
    <row r="1" spans="1:7" ht="31.95" customHeight="1" x14ac:dyDescent="0.3">
      <c r="A1" s="41" t="s">
        <v>151</v>
      </c>
      <c r="B1" s="41"/>
      <c r="C1" s="41"/>
      <c r="D1" s="41"/>
      <c r="E1" s="41"/>
      <c r="F1" s="41"/>
      <c r="G1" s="41"/>
    </row>
    <row r="2" spans="1:7" ht="19.95" customHeight="1" x14ac:dyDescent="0.3">
      <c r="A2" s="42" t="s">
        <v>152</v>
      </c>
      <c r="B2" s="42"/>
      <c r="C2" s="42"/>
      <c r="D2" s="42"/>
      <c r="E2" s="42"/>
      <c r="F2" s="42"/>
      <c r="G2" s="42"/>
    </row>
    <row r="4" spans="1:7" ht="28.05" customHeight="1" x14ac:dyDescent="0.3">
      <c r="A4" s="17" t="s">
        <v>128</v>
      </c>
      <c r="B4" s="18" t="s">
        <v>129</v>
      </c>
      <c r="C4" s="18" t="s">
        <v>153</v>
      </c>
      <c r="D4" s="18" t="s">
        <v>154</v>
      </c>
      <c r="E4" s="18" t="s">
        <v>155</v>
      </c>
      <c r="F4" s="18" t="s">
        <v>156</v>
      </c>
      <c r="G4" s="18" t="s">
        <v>157</v>
      </c>
    </row>
    <row r="5" spans="1:7" ht="20.399999999999999" x14ac:dyDescent="0.3">
      <c r="A5" s="2" t="s">
        <v>158</v>
      </c>
      <c r="B5" s="12" t="s">
        <v>28</v>
      </c>
      <c r="C5" s="12" t="s">
        <v>159</v>
      </c>
      <c r="D5" s="12" t="s">
        <v>159</v>
      </c>
      <c r="E5" s="12" t="s">
        <v>159</v>
      </c>
      <c r="F5" s="12" t="s">
        <v>159</v>
      </c>
      <c r="G5" s="12" t="s">
        <v>159</v>
      </c>
    </row>
    <row r="6" spans="1:7" ht="20.399999999999999" x14ac:dyDescent="0.3">
      <c r="A6" s="2" t="s">
        <v>160</v>
      </c>
      <c r="B6" s="12">
        <v>200</v>
      </c>
      <c r="C6" s="11">
        <v>72</v>
      </c>
      <c r="D6" s="11">
        <v>90</v>
      </c>
      <c r="E6" s="11">
        <v>105</v>
      </c>
      <c r="F6" s="11">
        <v>80</v>
      </c>
      <c r="G6" s="11">
        <v>120</v>
      </c>
    </row>
    <row r="7" spans="1:7" ht="20.399999999999999" x14ac:dyDescent="0.3">
      <c r="A7" s="2" t="s">
        <v>77</v>
      </c>
      <c r="B7" s="12">
        <v>3</v>
      </c>
      <c r="C7" s="12">
        <v>1</v>
      </c>
      <c r="D7" s="12">
        <v>2</v>
      </c>
      <c r="E7" s="12">
        <v>3</v>
      </c>
      <c r="F7" s="12">
        <v>1</v>
      </c>
      <c r="G7" s="12">
        <v>4</v>
      </c>
    </row>
    <row r="8" spans="1:7" ht="20.399999999999999" x14ac:dyDescent="0.3">
      <c r="A8" s="2" t="s">
        <v>17</v>
      </c>
      <c r="B8" s="12">
        <v>2010</v>
      </c>
      <c r="C8" s="12">
        <v>2016</v>
      </c>
      <c r="D8" s="12">
        <v>2015</v>
      </c>
      <c r="E8" s="12">
        <v>2018</v>
      </c>
      <c r="F8" s="12">
        <v>2017</v>
      </c>
      <c r="G8" s="12">
        <v>2016</v>
      </c>
    </row>
    <row r="9" spans="1:7" ht="21.6" x14ac:dyDescent="0.3">
      <c r="A9" s="2" t="s">
        <v>80</v>
      </c>
      <c r="B9" s="12">
        <v>380</v>
      </c>
      <c r="C9" s="13">
        <v>350</v>
      </c>
      <c r="D9" s="13">
        <v>320</v>
      </c>
      <c r="E9" s="13">
        <v>380</v>
      </c>
      <c r="F9" s="13">
        <v>340</v>
      </c>
      <c r="G9" s="13">
        <v>300</v>
      </c>
    </row>
    <row r="11" spans="1:7" ht="21.6" x14ac:dyDescent="0.3">
      <c r="A11" s="17" t="s">
        <v>161</v>
      </c>
      <c r="B11" s="13">
        <v>338</v>
      </c>
    </row>
  </sheetData>
  <mergeCells count="2">
    <mergeCell ref="A1:G1"/>
    <mergeCell ref="A2:G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C65911"/>
  </sheetPr>
  <dimension ref="A1:D53"/>
  <sheetViews>
    <sheetView rightToLeft="1" topLeftCell="A32" workbookViewId="0">
      <selection activeCell="G50" sqref="G50"/>
    </sheetView>
  </sheetViews>
  <sheetFormatPr defaultRowHeight="14.4" x14ac:dyDescent="0.3"/>
  <cols>
    <col min="1" max="1" width="42.6640625" customWidth="1"/>
    <col min="2" max="2" width="22.6640625" customWidth="1"/>
    <col min="3" max="3" width="16.6640625" customWidth="1"/>
    <col min="4" max="4" width="22.6640625" customWidth="1"/>
  </cols>
  <sheetData>
    <row r="1" spans="1:4" ht="34.950000000000003" customHeight="1" x14ac:dyDescent="0.3">
      <c r="A1" s="41" t="s">
        <v>162</v>
      </c>
      <c r="B1" s="41"/>
      <c r="C1" s="41"/>
      <c r="D1" s="41"/>
    </row>
    <row r="2" spans="1:4" ht="19.95" customHeight="1" x14ac:dyDescent="0.3">
      <c r="A2" s="42" t="s">
        <v>163</v>
      </c>
      <c r="B2" s="42"/>
      <c r="C2" s="42"/>
      <c r="D2" s="42"/>
    </row>
    <row r="4" spans="1:4" ht="22.05" customHeight="1" x14ac:dyDescent="0.3">
      <c r="A4" s="16" t="s">
        <v>164</v>
      </c>
      <c r="B4" s="16" t="s">
        <v>165</v>
      </c>
      <c r="C4" s="16" t="s">
        <v>166</v>
      </c>
      <c r="D4" s="16" t="s">
        <v>167</v>
      </c>
    </row>
    <row r="5" spans="1:4" ht="22.05" customHeight="1" x14ac:dyDescent="0.3">
      <c r="A5" s="38" t="s">
        <v>168</v>
      </c>
      <c r="B5" s="38"/>
      <c r="C5" s="38"/>
      <c r="D5" s="38"/>
    </row>
    <row r="6" spans="1:4" ht="20.399999999999999" x14ac:dyDescent="0.3">
      <c r="A6" s="2" t="s">
        <v>169</v>
      </c>
      <c r="B6" s="11">
        <f>'الافتراضات والمدخلات'!B5</f>
        <v>20000</v>
      </c>
    </row>
    <row r="7" spans="1:4" ht="20.399999999999999" x14ac:dyDescent="0.3">
      <c r="A7" s="2" t="s">
        <v>170</v>
      </c>
      <c r="B7" s="14">
        <v>0.3</v>
      </c>
    </row>
    <row r="8" spans="1:4" ht="20.399999999999999" x14ac:dyDescent="0.3">
      <c r="A8" s="2" t="s">
        <v>171</v>
      </c>
      <c r="B8" s="11">
        <f>B6*B7</f>
        <v>6000</v>
      </c>
    </row>
    <row r="9" spans="1:4" ht="20.399999999999999" x14ac:dyDescent="0.3">
      <c r="A9" s="2" t="s">
        <v>172</v>
      </c>
      <c r="C9" s="11">
        <f>'الافتراضات والمدخلات'!B4</f>
        <v>200</v>
      </c>
    </row>
    <row r="10" spans="1:4" ht="27" x14ac:dyDescent="0.3">
      <c r="A10" s="17" t="s">
        <v>173</v>
      </c>
      <c r="D10" s="21">
        <f>B8*C9</f>
        <v>1200000</v>
      </c>
    </row>
    <row r="12" spans="1:4" ht="22.05" customHeight="1" x14ac:dyDescent="0.3">
      <c r="A12" s="38" t="s">
        <v>174</v>
      </c>
      <c r="B12" s="38"/>
      <c r="C12" s="38"/>
      <c r="D12" s="38"/>
    </row>
    <row r="13" spans="1:4" ht="21.6" x14ac:dyDescent="0.3">
      <c r="A13" s="2" t="s">
        <v>175</v>
      </c>
      <c r="B13" s="11">
        <f>'الافتراضات والمدخلات'!B17</f>
        <v>350</v>
      </c>
      <c r="C13" s="11">
        <f>'الافتراضات والمدخلات'!B4</f>
        <v>200</v>
      </c>
      <c r="D13" s="13">
        <f>B13*C13</f>
        <v>70000</v>
      </c>
    </row>
    <row r="14" spans="1:4" ht="21.6" x14ac:dyDescent="0.3">
      <c r="A14" s="2" t="s">
        <v>176</v>
      </c>
      <c r="B14" s="11">
        <f>'الافتراضات والمدخلات'!B18</f>
        <v>1200</v>
      </c>
      <c r="C14" s="11">
        <f>'الافتراضات والمدخلات'!B4</f>
        <v>200</v>
      </c>
      <c r="D14" s="13">
        <f>B14*C14</f>
        <v>240000</v>
      </c>
    </row>
    <row r="15" spans="1:4" ht="21.6" x14ac:dyDescent="0.3">
      <c r="A15" s="2" t="s">
        <v>177</v>
      </c>
      <c r="B15" s="11">
        <f>'الافتراضات والمدخلات'!B19</f>
        <v>800</v>
      </c>
      <c r="C15" s="11">
        <f>'الافتراضات والمدخلات'!B4</f>
        <v>200</v>
      </c>
      <c r="D15" s="13">
        <f>B15*C15</f>
        <v>160000</v>
      </c>
    </row>
    <row r="16" spans="1:4" ht="21.6" x14ac:dyDescent="0.3">
      <c r="A16" s="2" t="s">
        <v>178</v>
      </c>
      <c r="B16" s="11">
        <f>'الافتراضات والمدخلات'!B20</f>
        <v>400</v>
      </c>
      <c r="C16" s="11">
        <f>'الافتراضات والمدخلات'!B4</f>
        <v>200</v>
      </c>
      <c r="D16" s="13">
        <f>B16*C16</f>
        <v>80000</v>
      </c>
    </row>
    <row r="17" spans="1:4" ht="27" x14ac:dyDescent="0.3">
      <c r="A17" s="17" t="s">
        <v>179</v>
      </c>
      <c r="D17" s="21">
        <f>SUM(D13:D16)</f>
        <v>550000</v>
      </c>
    </row>
    <row r="19" spans="1:4" ht="22.05" customHeight="1" x14ac:dyDescent="0.3">
      <c r="A19" s="38" t="s">
        <v>180</v>
      </c>
      <c r="B19" s="38"/>
      <c r="C19" s="38"/>
      <c r="D19" s="38"/>
    </row>
    <row r="20" spans="1:4" ht="21.6" x14ac:dyDescent="0.3">
      <c r="A20" s="2" t="s">
        <v>181</v>
      </c>
      <c r="B20" s="11">
        <f>'الافتراضات والمدخلات'!B21</f>
        <v>250</v>
      </c>
      <c r="C20" s="11">
        <f>'الافتراضات والمدخلات'!B4</f>
        <v>200</v>
      </c>
      <c r="D20" s="13">
        <f t="shared" ref="D20:D25" si="0">B20*C20</f>
        <v>50000</v>
      </c>
    </row>
    <row r="21" spans="1:4" ht="21.6" x14ac:dyDescent="0.3">
      <c r="A21" s="2" t="s">
        <v>182</v>
      </c>
      <c r="B21" s="11">
        <f>'الافتراضات والمدخلات'!B22</f>
        <v>450</v>
      </c>
      <c r="C21" s="11">
        <f>'الافتراضات والمدخلات'!B4</f>
        <v>200</v>
      </c>
      <c r="D21" s="13">
        <f t="shared" si="0"/>
        <v>90000</v>
      </c>
    </row>
    <row r="22" spans="1:4" ht="21.6" x14ac:dyDescent="0.3">
      <c r="A22" s="2" t="s">
        <v>183</v>
      </c>
      <c r="B22" s="11">
        <f>'الافتراضات والمدخلات'!B23</f>
        <v>350</v>
      </c>
      <c r="C22" s="11">
        <f>'الافتراضات والمدخلات'!B4</f>
        <v>200</v>
      </c>
      <c r="D22" s="13">
        <f t="shared" si="0"/>
        <v>70000</v>
      </c>
    </row>
    <row r="23" spans="1:4" ht="21.6" x14ac:dyDescent="0.3">
      <c r="A23" s="2" t="s">
        <v>184</v>
      </c>
      <c r="B23" s="11">
        <f>'الافتراضات والمدخلات'!B24</f>
        <v>400</v>
      </c>
      <c r="C23" s="11">
        <f>'الافتراضات والمدخلات'!B4</f>
        <v>200</v>
      </c>
      <c r="D23" s="13">
        <f t="shared" si="0"/>
        <v>80000</v>
      </c>
    </row>
    <row r="24" spans="1:4" ht="21.6" x14ac:dyDescent="0.3">
      <c r="A24" s="2" t="s">
        <v>185</v>
      </c>
      <c r="B24" s="11">
        <f>'الافتراضات والمدخلات'!B25</f>
        <v>150</v>
      </c>
      <c r="C24" s="11">
        <f>'الافتراضات والمدخلات'!B4</f>
        <v>200</v>
      </c>
      <c r="D24" s="13">
        <f t="shared" si="0"/>
        <v>30000</v>
      </c>
    </row>
    <row r="25" spans="1:4" ht="21.6" x14ac:dyDescent="0.3">
      <c r="A25" s="2" t="s">
        <v>186</v>
      </c>
      <c r="B25" s="11">
        <f>'الافتراضات والمدخلات'!B26</f>
        <v>350</v>
      </c>
      <c r="C25" s="11">
        <f>'الافتراضات والمدخلات'!B4</f>
        <v>200</v>
      </c>
      <c r="D25" s="13">
        <f t="shared" si="0"/>
        <v>70000</v>
      </c>
    </row>
    <row r="26" spans="1:4" ht="27" x14ac:dyDescent="0.3">
      <c r="A26" s="17" t="s">
        <v>187</v>
      </c>
      <c r="D26" s="21">
        <f>SUM(D20:D25)</f>
        <v>390000</v>
      </c>
    </row>
    <row r="28" spans="1:4" ht="22.05" customHeight="1" x14ac:dyDescent="0.3">
      <c r="A28" s="38" t="s">
        <v>188</v>
      </c>
      <c r="B28" s="38"/>
      <c r="C28" s="38"/>
      <c r="D28" s="38"/>
    </row>
    <row r="29" spans="1:4" ht="21.6" x14ac:dyDescent="0.3">
      <c r="A29" s="2" t="s">
        <v>189</v>
      </c>
      <c r="B29" s="14">
        <f>'الافتراضات والمدخلات'!B27</f>
        <v>0.05</v>
      </c>
      <c r="C29" s="12" t="s">
        <v>190</v>
      </c>
      <c r="D29" s="13">
        <f>'الافتراضات والمدخلات'!B27*(D17+D26)</f>
        <v>47000</v>
      </c>
    </row>
    <row r="30" spans="1:4" ht="21.6" x14ac:dyDescent="0.3">
      <c r="A30" s="2" t="s">
        <v>191</v>
      </c>
      <c r="B30" s="14">
        <v>0.15</v>
      </c>
      <c r="C30" s="12" t="s">
        <v>192</v>
      </c>
      <c r="D30" s="13">
        <f>0.15*(D17+D26+D29)</f>
        <v>148050</v>
      </c>
    </row>
    <row r="31" spans="1:4" ht="27" x14ac:dyDescent="0.3">
      <c r="A31" s="17" t="s">
        <v>193</v>
      </c>
      <c r="D31" s="21">
        <f>SUM(D29:D30)</f>
        <v>195050</v>
      </c>
    </row>
    <row r="32" spans="1:4" ht="26.4" x14ac:dyDescent="0.3">
      <c r="A32" s="17" t="s">
        <v>194</v>
      </c>
      <c r="D32" s="22">
        <f>D17+D26+D31</f>
        <v>1135050</v>
      </c>
    </row>
    <row r="34" spans="1:4" ht="22.05" customHeight="1" x14ac:dyDescent="0.3">
      <c r="A34" s="38" t="s">
        <v>195</v>
      </c>
      <c r="B34" s="38"/>
      <c r="C34" s="38"/>
      <c r="D34" s="38"/>
    </row>
    <row r="35" spans="1:4" ht="20.399999999999999" x14ac:dyDescent="0.3">
      <c r="A35" s="2" t="s">
        <v>196</v>
      </c>
      <c r="B35" s="12">
        <f>'الافتراضات والمدخلات'!B8</f>
        <v>16</v>
      </c>
    </row>
    <row r="36" spans="1:4" ht="20.399999999999999" x14ac:dyDescent="0.3">
      <c r="A36" s="2" t="s">
        <v>197</v>
      </c>
      <c r="B36" s="12">
        <v>60</v>
      </c>
    </row>
    <row r="37" spans="1:4" ht="20.399999999999999" x14ac:dyDescent="0.3">
      <c r="A37" s="2" t="s">
        <v>198</v>
      </c>
      <c r="B37" s="14">
        <f>'الافتراضات والمدخلات'!B8/60</f>
        <v>0.26666666666666666</v>
      </c>
    </row>
    <row r="38" spans="1:4" ht="21.6" x14ac:dyDescent="0.3">
      <c r="A38" s="2" t="s">
        <v>199</v>
      </c>
      <c r="D38" s="13">
        <f>('الافتراضات والمدخلات'!B8/60)*D32</f>
        <v>302680</v>
      </c>
    </row>
    <row r="39" spans="1:4" ht="21.6" x14ac:dyDescent="0.3">
      <c r="A39" s="2" t="s">
        <v>200</v>
      </c>
      <c r="D39" s="13">
        <f>0.02*D32</f>
        <v>22701</v>
      </c>
    </row>
    <row r="40" spans="1:4" ht="21.6" x14ac:dyDescent="0.3">
      <c r="A40" s="17" t="s">
        <v>201</v>
      </c>
      <c r="D40" s="13">
        <f>D38+D39</f>
        <v>325381</v>
      </c>
    </row>
    <row r="41" spans="1:4" ht="27" x14ac:dyDescent="0.3">
      <c r="A41" s="17" t="s">
        <v>202</v>
      </c>
      <c r="D41" s="21">
        <f>D32-D40</f>
        <v>809669</v>
      </c>
    </row>
    <row r="43" spans="1:4" ht="22.05" customHeight="1" x14ac:dyDescent="0.3">
      <c r="A43" s="38" t="s">
        <v>203</v>
      </c>
      <c r="B43" s="38"/>
      <c r="C43" s="38"/>
      <c r="D43" s="38"/>
    </row>
    <row r="44" spans="1:4" ht="21.6" x14ac:dyDescent="0.3">
      <c r="A44" s="2" t="s">
        <v>204</v>
      </c>
      <c r="D44" s="13">
        <f>D10</f>
        <v>1200000</v>
      </c>
    </row>
    <row r="45" spans="1:4" ht="21.6" x14ac:dyDescent="0.3">
      <c r="A45" s="2" t="s">
        <v>202</v>
      </c>
      <c r="D45" s="13">
        <f>D41</f>
        <v>809669</v>
      </c>
    </row>
    <row r="46" spans="1:4" ht="27" x14ac:dyDescent="0.3">
      <c r="A46" s="17" t="s">
        <v>205</v>
      </c>
      <c r="D46" s="21">
        <f>D10+D41</f>
        <v>2009669</v>
      </c>
    </row>
    <row r="47" spans="1:4" ht="21.6" x14ac:dyDescent="0.3">
      <c r="A47" s="17" t="s">
        <v>206</v>
      </c>
      <c r="D47" s="13">
        <f>D46/'الافتراضات والمدخلات'!B4</f>
        <v>10048.344999999999</v>
      </c>
    </row>
    <row r="50" spans="1:2" ht="21.6" x14ac:dyDescent="0.3">
      <c r="A50" s="9" t="s">
        <v>207</v>
      </c>
    </row>
    <row r="51" spans="1:2" ht="21.6" x14ac:dyDescent="0.3">
      <c r="A51" s="2" t="s">
        <v>208</v>
      </c>
      <c r="B51" s="13">
        <f>D17</f>
        <v>550000</v>
      </c>
    </row>
    <row r="52" spans="1:2" ht="21.6" x14ac:dyDescent="0.3">
      <c r="A52" s="2" t="s">
        <v>209</v>
      </c>
      <c r="B52" s="13">
        <f>D26</f>
        <v>390000</v>
      </c>
    </row>
    <row r="53" spans="1:2" ht="21.6" x14ac:dyDescent="0.3">
      <c r="A53" s="2" t="s">
        <v>210</v>
      </c>
      <c r="B53" s="13">
        <f>D31</f>
        <v>195050</v>
      </c>
    </row>
  </sheetData>
  <mergeCells count="8">
    <mergeCell ref="A28:D28"/>
    <mergeCell ref="A34:D34"/>
    <mergeCell ref="A43:D43"/>
    <mergeCell ref="A1:D1"/>
    <mergeCell ref="A2:D2"/>
    <mergeCell ref="A5:D5"/>
    <mergeCell ref="A12:D12"/>
    <mergeCell ref="A19:D19"/>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23"/>
  <sheetViews>
    <sheetView rightToLeft="1" workbookViewId="0">
      <selection sqref="A1:C1"/>
    </sheetView>
  </sheetViews>
  <sheetFormatPr defaultRowHeight="14.4" x14ac:dyDescent="0.3"/>
  <cols>
    <col min="1" max="1" width="40.6640625" customWidth="1"/>
    <col min="2" max="3" width="20.6640625" customWidth="1"/>
  </cols>
  <sheetData>
    <row r="1" spans="1:3" ht="34.950000000000003" customHeight="1" x14ac:dyDescent="0.3">
      <c r="A1" s="41" t="s">
        <v>211</v>
      </c>
      <c r="B1" s="41"/>
      <c r="C1" s="41"/>
    </row>
    <row r="2" spans="1:3" ht="19.95" customHeight="1" x14ac:dyDescent="0.3">
      <c r="A2" s="42" t="s">
        <v>212</v>
      </c>
      <c r="B2" s="42"/>
      <c r="C2" s="42"/>
    </row>
    <row r="4" spans="1:3" ht="21.6" x14ac:dyDescent="0.3">
      <c r="A4" s="2" t="s">
        <v>213</v>
      </c>
      <c r="B4" s="13">
        <v>6333.333333333333</v>
      </c>
      <c r="C4" s="12" t="s">
        <v>214</v>
      </c>
    </row>
    <row r="5" spans="1:3" ht="21.6" x14ac:dyDescent="0.3">
      <c r="A5" s="2" t="s">
        <v>215</v>
      </c>
      <c r="B5" s="13">
        <v>76000</v>
      </c>
      <c r="C5" s="12" t="s">
        <v>216</v>
      </c>
    </row>
    <row r="6" spans="1:3" ht="21.6" x14ac:dyDescent="0.3">
      <c r="A6" s="2" t="s">
        <v>217</v>
      </c>
      <c r="B6" s="13">
        <v>7600</v>
      </c>
      <c r="C6" s="12" t="s">
        <v>216</v>
      </c>
    </row>
    <row r="7" spans="1:3" ht="21.6" x14ac:dyDescent="0.3">
      <c r="A7" s="2" t="s">
        <v>218</v>
      </c>
      <c r="B7" s="13">
        <v>68400</v>
      </c>
      <c r="C7" s="12" t="s">
        <v>216</v>
      </c>
    </row>
    <row r="8" spans="1:3" ht="20.399999999999999" x14ac:dyDescent="0.3">
      <c r="A8" s="2" t="s">
        <v>219</v>
      </c>
      <c r="B8" s="12">
        <v>44</v>
      </c>
      <c r="C8" s="12" t="s">
        <v>220</v>
      </c>
    </row>
    <row r="9" spans="1:3" ht="20.399999999999999" x14ac:dyDescent="0.3">
      <c r="A9" s="2" t="s">
        <v>221</v>
      </c>
      <c r="B9" s="14">
        <v>2.2727272727272731E-2</v>
      </c>
      <c r="C9" s="12" t="s">
        <v>222</v>
      </c>
    </row>
    <row r="10" spans="1:3" ht="20.399999999999999" x14ac:dyDescent="0.3">
      <c r="A10" s="2" t="s">
        <v>223</v>
      </c>
      <c r="B10" s="14">
        <v>8.5000000000000006E-2</v>
      </c>
      <c r="C10" s="12" t="s">
        <v>222</v>
      </c>
    </row>
    <row r="11" spans="1:3" ht="20.399999999999999" x14ac:dyDescent="0.3">
      <c r="A11" s="2" t="s">
        <v>224</v>
      </c>
      <c r="B11" s="14">
        <v>0.1077272727272727</v>
      </c>
      <c r="C11" s="12" t="s">
        <v>222</v>
      </c>
    </row>
    <row r="12" spans="1:3" ht="21.6" x14ac:dyDescent="0.3">
      <c r="A12" s="2" t="s">
        <v>225</v>
      </c>
      <c r="B12" s="13">
        <v>102000</v>
      </c>
      <c r="C12" s="12" t="s">
        <v>216</v>
      </c>
    </row>
    <row r="13" spans="1:3" ht="21.6" x14ac:dyDescent="0.3">
      <c r="A13" s="2" t="s">
        <v>226</v>
      </c>
      <c r="B13" s="13">
        <v>68400</v>
      </c>
      <c r="C13" s="12" t="s">
        <v>216</v>
      </c>
    </row>
    <row r="14" spans="1:3" ht="21.6" x14ac:dyDescent="0.3">
      <c r="A14" s="2" t="s">
        <v>227</v>
      </c>
      <c r="B14" s="13">
        <v>634936.70886075951</v>
      </c>
      <c r="C14" s="12" t="s">
        <v>228</v>
      </c>
    </row>
    <row r="15" spans="1:3" ht="21.6" x14ac:dyDescent="0.3">
      <c r="A15" s="2" t="s">
        <v>229</v>
      </c>
      <c r="B15" s="13">
        <v>1200000</v>
      </c>
      <c r="C15" s="12" t="s">
        <v>228</v>
      </c>
    </row>
    <row r="17" spans="1:3" ht="27" x14ac:dyDescent="0.3">
      <c r="A17" s="17" t="s">
        <v>230</v>
      </c>
      <c r="B17" s="21">
        <v>634936.70886075951</v>
      </c>
      <c r="C17" s="12" t="s">
        <v>228</v>
      </c>
    </row>
    <row r="18" spans="1:3" ht="21.6" x14ac:dyDescent="0.3">
      <c r="A18" s="17" t="s">
        <v>231</v>
      </c>
      <c r="B18" s="13">
        <v>3174.683544303798</v>
      </c>
    </row>
    <row r="21" spans="1:3" ht="21.6" x14ac:dyDescent="0.3">
      <c r="A21" s="38" t="s">
        <v>232</v>
      </c>
      <c r="B21" s="38"/>
      <c r="C21" s="38"/>
    </row>
    <row r="22" spans="1:3" ht="28.05" customHeight="1" x14ac:dyDescent="0.3">
      <c r="A22" s="39" t="s">
        <v>233</v>
      </c>
      <c r="B22" s="39"/>
      <c r="C22" s="39"/>
    </row>
    <row r="23" spans="1:3" ht="28.05" customHeight="1" x14ac:dyDescent="0.3">
      <c r="A23" s="39"/>
      <c r="B23" s="39"/>
      <c r="C23" s="39"/>
    </row>
  </sheetData>
  <mergeCells count="4">
    <mergeCell ref="A1:C1"/>
    <mergeCell ref="A2:C2"/>
    <mergeCell ref="A21:C21"/>
    <mergeCell ref="A22:C2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36"/>
  <sheetViews>
    <sheetView rightToLeft="1" workbookViewId="0">
      <selection activeCell="I1" sqref="I1"/>
    </sheetView>
  </sheetViews>
  <sheetFormatPr defaultRowHeight="14.4" x14ac:dyDescent="0.3"/>
  <cols>
    <col min="1" max="1" width="14.6640625" customWidth="1"/>
    <col min="2" max="5" width="18.6640625" customWidth="1"/>
  </cols>
  <sheetData>
    <row r="1" spans="1:5" ht="31.95" customHeight="1" x14ac:dyDescent="0.3">
      <c r="A1" s="41" t="s">
        <v>234</v>
      </c>
      <c r="B1" s="41"/>
      <c r="C1" s="41"/>
      <c r="D1" s="41"/>
      <c r="E1" s="41"/>
    </row>
    <row r="2" spans="1:5" ht="19.95" customHeight="1" x14ac:dyDescent="0.3">
      <c r="A2" s="42" t="s">
        <v>235</v>
      </c>
      <c r="B2" s="42"/>
      <c r="C2" s="42"/>
      <c r="D2" s="42"/>
      <c r="E2" s="42"/>
    </row>
    <row r="4" spans="1:5" ht="21.6" x14ac:dyDescent="0.3">
      <c r="A4" s="16" t="s">
        <v>89</v>
      </c>
      <c r="B4" s="16" t="s">
        <v>236</v>
      </c>
      <c r="C4" s="16" t="s">
        <v>237</v>
      </c>
      <c r="D4" s="16" t="s">
        <v>238</v>
      </c>
      <c r="E4" s="16" t="s">
        <v>17</v>
      </c>
    </row>
    <row r="5" spans="1:5" ht="20.399999999999999" x14ac:dyDescent="0.3">
      <c r="A5" s="12" t="s">
        <v>93</v>
      </c>
      <c r="B5" s="11">
        <v>21956</v>
      </c>
      <c r="C5" s="12">
        <v>31.054359999999999</v>
      </c>
      <c r="D5" s="12">
        <v>29.977910000000001</v>
      </c>
      <c r="E5" s="12">
        <v>2016</v>
      </c>
    </row>
    <row r="6" spans="1:5" ht="20.399999999999999" x14ac:dyDescent="0.3">
      <c r="A6" s="12" t="s">
        <v>94</v>
      </c>
      <c r="B6" s="11">
        <v>22000</v>
      </c>
      <c r="C6" s="12">
        <v>31.053830000000001</v>
      </c>
      <c r="D6" s="12">
        <v>29.977910000000001</v>
      </c>
      <c r="E6" s="12">
        <v>2016</v>
      </c>
    </row>
    <row r="7" spans="1:5" ht="20.399999999999999" x14ac:dyDescent="0.3">
      <c r="A7" s="12" t="s">
        <v>95</v>
      </c>
      <c r="B7" s="11">
        <v>21885</v>
      </c>
      <c r="C7" s="12">
        <v>31.046469999999999</v>
      </c>
      <c r="D7" s="12">
        <v>29.97766</v>
      </c>
      <c r="E7" s="12">
        <v>2016</v>
      </c>
    </row>
    <row r="8" spans="1:5" ht="20.399999999999999" x14ac:dyDescent="0.3">
      <c r="A8" s="12" t="s">
        <v>96</v>
      </c>
      <c r="B8" s="11">
        <v>21436</v>
      </c>
      <c r="C8" s="12">
        <v>31.042999999999999</v>
      </c>
      <c r="D8" s="12">
        <v>29.977900000000002</v>
      </c>
      <c r="E8" s="12">
        <v>2017</v>
      </c>
    </row>
    <row r="9" spans="1:5" ht="20.399999999999999" x14ac:dyDescent="0.3">
      <c r="A9" s="12" t="s">
        <v>97</v>
      </c>
      <c r="B9" s="11">
        <v>21368</v>
      </c>
      <c r="C9" s="12">
        <v>31.042000000000002</v>
      </c>
      <c r="D9" s="12">
        <v>29.977900000000002</v>
      </c>
      <c r="E9" s="12">
        <v>2017</v>
      </c>
    </row>
    <row r="10" spans="1:5" ht="20.399999999999999" x14ac:dyDescent="0.3">
      <c r="A10" s="12" t="s">
        <v>98</v>
      </c>
      <c r="B10" s="11">
        <v>26208</v>
      </c>
      <c r="C10" s="12">
        <v>31.058</v>
      </c>
      <c r="D10" s="12">
        <v>29.977599999999999</v>
      </c>
      <c r="E10" s="12">
        <v>2000</v>
      </c>
    </row>
    <row r="11" spans="1:5" ht="20.399999999999999" x14ac:dyDescent="0.3">
      <c r="A11" s="12" t="s">
        <v>99</v>
      </c>
      <c r="B11" s="11">
        <v>25773</v>
      </c>
      <c r="C11" s="12">
        <v>31.056000000000001</v>
      </c>
      <c r="D11" s="12">
        <v>29.977499999999999</v>
      </c>
      <c r="E11" s="12">
        <v>2000</v>
      </c>
    </row>
    <row r="12" spans="1:5" ht="20.399999999999999" x14ac:dyDescent="0.3">
      <c r="A12" s="12" t="s">
        <v>100</v>
      </c>
      <c r="B12" s="11">
        <v>26855</v>
      </c>
      <c r="C12" s="12">
        <v>31.047000000000001</v>
      </c>
      <c r="D12" s="12">
        <v>29.978000000000002</v>
      </c>
      <c r="E12" s="12">
        <v>2000</v>
      </c>
    </row>
    <row r="13" spans="1:5" ht="20.399999999999999" x14ac:dyDescent="0.3">
      <c r="A13" s="12" t="s">
        <v>101</v>
      </c>
      <c r="B13" s="11">
        <v>26925</v>
      </c>
      <c r="C13" s="12">
        <v>31.047499999999999</v>
      </c>
      <c r="D13" s="12">
        <v>29.978100000000001</v>
      </c>
      <c r="E13" s="12">
        <v>2000</v>
      </c>
    </row>
    <row r="14" spans="1:5" ht="20.399999999999999" x14ac:dyDescent="0.3">
      <c r="A14" s="12" t="s">
        <v>102</v>
      </c>
      <c r="B14" s="11">
        <v>23584</v>
      </c>
      <c r="C14" s="12">
        <v>31.059000000000001</v>
      </c>
      <c r="D14" s="12">
        <v>29.975999999999999</v>
      </c>
      <c r="E14" s="12">
        <v>2007</v>
      </c>
    </row>
    <row r="15" spans="1:5" ht="20.399999999999999" x14ac:dyDescent="0.3">
      <c r="A15" s="12" t="s">
        <v>103</v>
      </c>
      <c r="B15" s="11">
        <v>24303</v>
      </c>
      <c r="C15" s="12">
        <v>31.056999999999999</v>
      </c>
      <c r="D15" s="12">
        <v>29.976199999999999</v>
      </c>
      <c r="E15" s="12">
        <v>2007</v>
      </c>
    </row>
    <row r="16" spans="1:5" ht="20.399999999999999" x14ac:dyDescent="0.3">
      <c r="A16" s="12" t="s">
        <v>104</v>
      </c>
      <c r="B16" s="11">
        <v>24849</v>
      </c>
      <c r="C16" s="12">
        <v>31.055</v>
      </c>
      <c r="D16" s="12">
        <v>29.976500000000001</v>
      </c>
      <c r="E16" s="12">
        <v>2007</v>
      </c>
    </row>
    <row r="17" spans="1:5" ht="20.399999999999999" x14ac:dyDescent="0.3">
      <c r="A17" s="12" t="s">
        <v>105</v>
      </c>
      <c r="B17" s="11">
        <v>21749</v>
      </c>
      <c r="C17" s="12">
        <v>31.054359999999999</v>
      </c>
      <c r="D17" s="12">
        <v>29.977910000000001</v>
      </c>
      <c r="E17" s="12">
        <v>2016</v>
      </c>
    </row>
    <row r="18" spans="1:5" ht="20.399999999999999" x14ac:dyDescent="0.3">
      <c r="A18" s="12" t="s">
        <v>106</v>
      </c>
      <c r="B18" s="11">
        <v>21617</v>
      </c>
      <c r="C18" s="12">
        <v>31.044370000000001</v>
      </c>
      <c r="D18" s="12">
        <v>29.977910000000001</v>
      </c>
      <c r="E18" s="12">
        <v>2017</v>
      </c>
    </row>
    <row r="19" spans="1:5" ht="20.399999999999999" x14ac:dyDescent="0.3">
      <c r="A19" s="12" t="s">
        <v>107</v>
      </c>
      <c r="B19" s="11">
        <v>17505</v>
      </c>
      <c r="C19" s="12">
        <v>31.048999999999999</v>
      </c>
      <c r="D19" s="12">
        <v>29.9785</v>
      </c>
      <c r="E19" s="12">
        <v>2013</v>
      </c>
    </row>
    <row r="20" spans="1:5" ht="20.399999999999999" x14ac:dyDescent="0.3">
      <c r="A20" s="12" t="s">
        <v>239</v>
      </c>
      <c r="B20" s="11">
        <v>27392</v>
      </c>
      <c r="C20" s="12">
        <v>31.0488</v>
      </c>
      <c r="D20" s="12">
        <v>29.978000000000002</v>
      </c>
      <c r="E20" s="12">
        <v>2000</v>
      </c>
    </row>
    <row r="21" spans="1:5" ht="20.399999999999999" x14ac:dyDescent="0.3">
      <c r="A21" s="12" t="s">
        <v>240</v>
      </c>
      <c r="B21" s="11">
        <v>25247</v>
      </c>
      <c r="C21" s="12">
        <v>31.0486</v>
      </c>
      <c r="D21" s="12">
        <v>29.978200000000001</v>
      </c>
      <c r="E21" s="12">
        <v>2000</v>
      </c>
    </row>
    <row r="22" spans="1:5" ht="20.399999999999999" x14ac:dyDescent="0.3">
      <c r="A22" s="12" t="s">
        <v>241</v>
      </c>
      <c r="B22" s="11">
        <v>23273</v>
      </c>
      <c r="C22" s="12">
        <v>31.0548</v>
      </c>
      <c r="D22" s="12">
        <v>29.976500000000001</v>
      </c>
      <c r="E22" s="12">
        <v>2009</v>
      </c>
    </row>
    <row r="23" spans="1:5" ht="20.399999999999999" x14ac:dyDescent="0.3">
      <c r="A23" s="12" t="s">
        <v>242</v>
      </c>
      <c r="B23" s="11">
        <v>23067</v>
      </c>
      <c r="C23" s="12">
        <v>31.0549</v>
      </c>
      <c r="D23" s="12">
        <v>29.976600000000001</v>
      </c>
      <c r="E23" s="12">
        <v>2009</v>
      </c>
    </row>
    <row r="24" spans="1:5" ht="20.399999999999999" x14ac:dyDescent="0.3">
      <c r="A24" s="12" t="s">
        <v>243</v>
      </c>
      <c r="B24" s="11">
        <v>24677</v>
      </c>
      <c r="C24" s="12">
        <v>31.055</v>
      </c>
      <c r="D24" s="12">
        <v>29.976700000000001</v>
      </c>
      <c r="E24" s="12">
        <v>2007</v>
      </c>
    </row>
    <row r="26" spans="1:5" ht="21.6" x14ac:dyDescent="0.3">
      <c r="A26" s="38" t="s">
        <v>244</v>
      </c>
      <c r="B26" s="38"/>
      <c r="C26" s="38"/>
      <c r="D26" s="38"/>
      <c r="E26" s="38"/>
    </row>
    <row r="27" spans="1:5" ht="20.399999999999999" x14ac:dyDescent="0.3">
      <c r="A27" s="2" t="s">
        <v>245</v>
      </c>
      <c r="B27" s="40" t="s">
        <v>246</v>
      </c>
      <c r="C27" s="40"/>
      <c r="D27" s="40"/>
      <c r="E27" s="40"/>
    </row>
    <row r="28" spans="1:5" ht="20.399999999999999" x14ac:dyDescent="0.3">
      <c r="A28" s="2" t="s">
        <v>247</v>
      </c>
      <c r="B28" s="12">
        <v>29.978000000000002</v>
      </c>
      <c r="C28" s="2" t="s">
        <v>248</v>
      </c>
      <c r="D28" s="12">
        <v>31.048999999999999</v>
      </c>
    </row>
    <row r="29" spans="1:5" ht="20.399999999999999" x14ac:dyDescent="0.3">
      <c r="A29" s="2" t="s">
        <v>249</v>
      </c>
      <c r="B29" s="11">
        <v>5838654.8822859898</v>
      </c>
    </row>
    <row r="30" spans="1:5" ht="27" x14ac:dyDescent="0.3">
      <c r="A30" s="17" t="s">
        <v>250</v>
      </c>
      <c r="B30" s="21">
        <v>23583.449837021941</v>
      </c>
      <c r="C30" s="17" t="s">
        <v>251</v>
      </c>
      <c r="D30" s="21">
        <v>4716689.9674043888</v>
      </c>
    </row>
    <row r="33" spans="1:5" ht="21.6" x14ac:dyDescent="0.3">
      <c r="A33" s="38" t="s">
        <v>252</v>
      </c>
      <c r="B33" s="38"/>
      <c r="C33" s="38"/>
      <c r="D33" s="38"/>
      <c r="E33" s="38"/>
    </row>
    <row r="34" spans="1:5" ht="25.05" customHeight="1" x14ac:dyDescent="0.3">
      <c r="A34" s="39" t="s">
        <v>253</v>
      </c>
      <c r="B34" s="39"/>
      <c r="C34" s="39"/>
      <c r="D34" s="39"/>
      <c r="E34" s="39"/>
    </row>
    <row r="35" spans="1:5" ht="25.05" customHeight="1" x14ac:dyDescent="0.3">
      <c r="A35" s="39"/>
      <c r="B35" s="39"/>
      <c r="C35" s="39"/>
      <c r="D35" s="39"/>
      <c r="E35" s="39"/>
    </row>
    <row r="36" spans="1:5" ht="25.05" customHeight="1" x14ac:dyDescent="0.3">
      <c r="A36" s="39"/>
      <c r="B36" s="39"/>
      <c r="C36" s="39"/>
      <c r="D36" s="39"/>
      <c r="E36" s="39"/>
    </row>
  </sheetData>
  <mergeCells count="6">
    <mergeCell ref="A34:E36"/>
    <mergeCell ref="A1:E1"/>
    <mergeCell ref="A2:E2"/>
    <mergeCell ref="A26:E26"/>
    <mergeCell ref="B27:E27"/>
    <mergeCell ref="A33:E3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46"/>
  <sheetViews>
    <sheetView rightToLeft="1" topLeftCell="A31" workbookViewId="0">
      <selection activeCell="I42" sqref="I42"/>
    </sheetView>
  </sheetViews>
  <sheetFormatPr defaultRowHeight="14.4" x14ac:dyDescent="0.3"/>
  <cols>
    <col min="1" max="1" width="30.6640625" customWidth="1"/>
    <col min="2" max="6" width="18.6640625" customWidth="1"/>
  </cols>
  <sheetData>
    <row r="1" spans="1:6" ht="31.95" customHeight="1" x14ac:dyDescent="0.3">
      <c r="A1" s="41" t="s">
        <v>254</v>
      </c>
      <c r="B1" s="41"/>
      <c r="C1" s="41"/>
      <c r="D1" s="41"/>
      <c r="E1" s="41"/>
      <c r="F1" s="41"/>
    </row>
    <row r="2" spans="1:6" ht="19.95" customHeight="1" x14ac:dyDescent="0.3">
      <c r="A2" s="42" t="s">
        <v>255</v>
      </c>
      <c r="B2" s="42"/>
      <c r="C2" s="42"/>
      <c r="D2" s="42"/>
      <c r="E2" s="42"/>
      <c r="F2" s="42"/>
    </row>
    <row r="4" spans="1:6" ht="21.6" x14ac:dyDescent="0.3">
      <c r="A4" s="38" t="s">
        <v>110</v>
      </c>
      <c r="B4" s="38"/>
      <c r="C4" s="38"/>
      <c r="D4" s="38" t="s">
        <v>111</v>
      </c>
      <c r="E4" s="38"/>
      <c r="F4" s="38"/>
    </row>
    <row r="5" spans="1:6" ht="20.399999999999999" x14ac:dyDescent="0.3">
      <c r="A5" s="2" t="s">
        <v>112</v>
      </c>
      <c r="B5" s="11">
        <v>0.91087870000000004</v>
      </c>
    </row>
    <row r="6" spans="1:6" ht="20.399999999999999" x14ac:dyDescent="0.3">
      <c r="A6" s="2" t="s">
        <v>115</v>
      </c>
      <c r="B6" s="11">
        <v>0.82969999999999999</v>
      </c>
    </row>
    <row r="7" spans="1:6" ht="20.399999999999999" x14ac:dyDescent="0.3">
      <c r="A7" s="2" t="s">
        <v>116</v>
      </c>
      <c r="B7" s="11">
        <v>0.79769999999999996</v>
      </c>
    </row>
    <row r="8" spans="1:6" ht="20.399999999999999" x14ac:dyDescent="0.3">
      <c r="A8" s="2" t="s">
        <v>256</v>
      </c>
      <c r="B8" s="11">
        <v>107001.98</v>
      </c>
    </row>
    <row r="9" spans="1:6" ht="20.399999999999999" x14ac:dyDescent="0.3">
      <c r="A9" s="2" t="s">
        <v>114</v>
      </c>
      <c r="B9" s="11">
        <v>20</v>
      </c>
    </row>
    <row r="11" spans="1:6" ht="21.6" x14ac:dyDescent="0.3">
      <c r="A11" s="16" t="s">
        <v>117</v>
      </c>
      <c r="B11" s="16" t="s">
        <v>257</v>
      </c>
      <c r="C11" s="16" t="s">
        <v>256</v>
      </c>
      <c r="D11" s="16" t="s">
        <v>119</v>
      </c>
      <c r="E11" s="16" t="s">
        <v>258</v>
      </c>
      <c r="F11" s="16" t="s">
        <v>259</v>
      </c>
    </row>
    <row r="12" spans="1:6" ht="20.399999999999999" x14ac:dyDescent="0.3">
      <c r="A12" s="2" t="s">
        <v>260</v>
      </c>
      <c r="B12" s="11">
        <v>827305.65</v>
      </c>
      <c r="C12" s="11">
        <v>107001.98</v>
      </c>
      <c r="D12" s="12" t="s">
        <v>135</v>
      </c>
      <c r="E12" s="12" t="s">
        <v>135</v>
      </c>
      <c r="F12" s="12" t="s">
        <v>135</v>
      </c>
    </row>
    <row r="13" spans="1:6" ht="20.399999999999999" x14ac:dyDescent="0.3">
      <c r="A13" s="2" t="s">
        <v>261</v>
      </c>
      <c r="B13" s="11">
        <v>-146.37</v>
      </c>
      <c r="C13" s="11">
        <v>107001.98</v>
      </c>
      <c r="D13" s="11">
        <v>0.26700000000000002</v>
      </c>
      <c r="E13" s="12" t="s">
        <v>135</v>
      </c>
      <c r="F13" s="12" t="s">
        <v>135</v>
      </c>
    </row>
    <row r="14" spans="1:6" ht="20.399999999999999" x14ac:dyDescent="0.3">
      <c r="A14" s="2" t="s">
        <v>262</v>
      </c>
      <c r="B14" s="11">
        <v>-4.4000000000000004</v>
      </c>
      <c r="C14" s="11">
        <v>107001.98</v>
      </c>
      <c r="D14" s="11">
        <v>0.15179999999999999</v>
      </c>
      <c r="E14" s="12" t="s">
        <v>135</v>
      </c>
      <c r="F14" s="12" t="s">
        <v>135</v>
      </c>
    </row>
    <row r="15" spans="1:6" ht="20.399999999999999" x14ac:dyDescent="0.3">
      <c r="A15" s="2" t="s">
        <v>263</v>
      </c>
      <c r="B15" s="11">
        <v>-399.5</v>
      </c>
      <c r="C15" s="11">
        <v>107001.98</v>
      </c>
      <c r="D15" s="11">
        <v>0</v>
      </c>
      <c r="E15" s="12" t="s">
        <v>135</v>
      </c>
      <c r="F15" s="12" t="s">
        <v>135</v>
      </c>
    </row>
    <row r="17" spans="1:6" ht="21.6" x14ac:dyDescent="0.3">
      <c r="A17" s="38" t="s">
        <v>264</v>
      </c>
      <c r="B17" s="38"/>
      <c r="C17" s="38"/>
    </row>
    <row r="18" spans="1:6" ht="20.399999999999999" x14ac:dyDescent="0.3">
      <c r="A18" s="2" t="s">
        <v>265</v>
      </c>
      <c r="B18" s="12">
        <v>3</v>
      </c>
    </row>
    <row r="19" spans="1:6" ht="20.399999999999999" x14ac:dyDescent="0.3">
      <c r="A19" s="2" t="s">
        <v>266</v>
      </c>
      <c r="B19" s="12">
        <v>200</v>
      </c>
    </row>
    <row r="20" spans="1:6" ht="20.399999999999999" x14ac:dyDescent="0.3">
      <c r="A20" s="2" t="s">
        <v>267</v>
      </c>
      <c r="B20" s="12">
        <v>2010</v>
      </c>
    </row>
    <row r="21" spans="1:6" ht="27" x14ac:dyDescent="0.3">
      <c r="A21" s="17" t="s">
        <v>268</v>
      </c>
      <c r="B21" s="21">
        <v>22984.495381405111</v>
      </c>
      <c r="C21" s="17" t="s">
        <v>251</v>
      </c>
      <c r="D21" s="21">
        <v>4596899.0762810223</v>
      </c>
    </row>
    <row r="25" spans="1:6" ht="21.6" x14ac:dyDescent="0.3">
      <c r="A25" s="38" t="s">
        <v>269</v>
      </c>
      <c r="B25" s="38"/>
      <c r="C25" s="38"/>
      <c r="D25" s="38"/>
      <c r="E25" s="38"/>
      <c r="F25" s="38"/>
    </row>
    <row r="26" spans="1:6" ht="21.6" x14ac:dyDescent="0.3">
      <c r="A26" s="16" t="s">
        <v>270</v>
      </c>
      <c r="B26" s="16" t="s">
        <v>89</v>
      </c>
      <c r="C26" s="16" t="s">
        <v>77</v>
      </c>
      <c r="D26" s="16" t="s">
        <v>271</v>
      </c>
      <c r="E26" s="16" t="s">
        <v>17</v>
      </c>
      <c r="F26" s="16" t="s">
        <v>272</v>
      </c>
    </row>
    <row r="27" spans="1:6" ht="20.399999999999999" x14ac:dyDescent="0.3">
      <c r="A27" s="12">
        <v>1</v>
      </c>
      <c r="B27" s="12" t="s">
        <v>93</v>
      </c>
      <c r="C27" s="12">
        <v>1</v>
      </c>
      <c r="D27" s="11">
        <v>72</v>
      </c>
      <c r="E27" s="12">
        <v>2016</v>
      </c>
      <c r="F27" s="11">
        <v>21956</v>
      </c>
    </row>
    <row r="28" spans="1:6" ht="20.399999999999999" x14ac:dyDescent="0.3">
      <c r="A28" s="12">
        <v>2</v>
      </c>
      <c r="B28" s="12" t="s">
        <v>94</v>
      </c>
      <c r="C28" s="12">
        <v>1</v>
      </c>
      <c r="D28" s="11">
        <v>71</v>
      </c>
      <c r="E28" s="12">
        <v>2016</v>
      </c>
      <c r="F28" s="11">
        <v>22000</v>
      </c>
    </row>
    <row r="29" spans="1:6" ht="20.399999999999999" x14ac:dyDescent="0.3">
      <c r="A29" s="12">
        <v>3</v>
      </c>
      <c r="B29" s="12" t="s">
        <v>95</v>
      </c>
      <c r="C29" s="12">
        <v>2</v>
      </c>
      <c r="D29" s="11">
        <v>72</v>
      </c>
      <c r="E29" s="12">
        <v>2016</v>
      </c>
      <c r="F29" s="11">
        <v>21885</v>
      </c>
    </row>
    <row r="30" spans="1:6" ht="20.399999999999999" x14ac:dyDescent="0.3">
      <c r="A30" s="12">
        <v>4</v>
      </c>
      <c r="B30" s="12" t="s">
        <v>96</v>
      </c>
      <c r="C30" s="12">
        <v>3</v>
      </c>
      <c r="D30" s="11">
        <v>92</v>
      </c>
      <c r="E30" s="12">
        <v>2017</v>
      </c>
      <c r="F30" s="11">
        <v>21436</v>
      </c>
    </row>
    <row r="31" spans="1:6" ht="20.399999999999999" x14ac:dyDescent="0.3">
      <c r="A31" s="12">
        <v>5</v>
      </c>
      <c r="B31" s="12" t="s">
        <v>97</v>
      </c>
      <c r="C31" s="12">
        <v>4</v>
      </c>
      <c r="D31" s="11">
        <v>92</v>
      </c>
      <c r="E31" s="12">
        <v>2017</v>
      </c>
      <c r="F31" s="11">
        <v>21368</v>
      </c>
    </row>
    <row r="32" spans="1:6" ht="20.399999999999999" x14ac:dyDescent="0.3">
      <c r="A32" s="12">
        <v>6</v>
      </c>
      <c r="B32" s="12" t="s">
        <v>98</v>
      </c>
      <c r="C32" s="12">
        <v>8</v>
      </c>
      <c r="D32" s="11">
        <v>297</v>
      </c>
      <c r="E32" s="12">
        <v>2000</v>
      </c>
      <c r="F32" s="11">
        <v>26208</v>
      </c>
    </row>
    <row r="33" spans="1:6" ht="20.399999999999999" x14ac:dyDescent="0.3">
      <c r="A33" s="12">
        <v>7</v>
      </c>
      <c r="B33" s="12" t="s">
        <v>99</v>
      </c>
      <c r="C33" s="12">
        <v>9</v>
      </c>
      <c r="D33" s="11">
        <v>417</v>
      </c>
      <c r="E33" s="12">
        <v>2000</v>
      </c>
      <c r="F33" s="11">
        <v>25773</v>
      </c>
    </row>
    <row r="34" spans="1:6" ht="20.399999999999999" x14ac:dyDescent="0.3">
      <c r="A34" s="12">
        <v>8</v>
      </c>
      <c r="B34" s="12" t="s">
        <v>100</v>
      </c>
      <c r="C34" s="12">
        <v>1</v>
      </c>
      <c r="D34" s="11">
        <v>372</v>
      </c>
      <c r="E34" s="12">
        <v>2000</v>
      </c>
      <c r="F34" s="11">
        <v>26855</v>
      </c>
    </row>
    <row r="35" spans="1:6" ht="20.399999999999999" x14ac:dyDescent="0.3">
      <c r="A35" s="12">
        <v>9</v>
      </c>
      <c r="B35" s="12" t="s">
        <v>101</v>
      </c>
      <c r="C35" s="12">
        <v>5</v>
      </c>
      <c r="D35" s="11">
        <v>331</v>
      </c>
      <c r="E35" s="12">
        <v>2000</v>
      </c>
      <c r="F35" s="11">
        <v>26925</v>
      </c>
    </row>
    <row r="36" spans="1:6" ht="20.399999999999999" x14ac:dyDescent="0.3">
      <c r="A36" s="12">
        <v>10</v>
      </c>
      <c r="B36" s="12" t="s">
        <v>102</v>
      </c>
      <c r="C36" s="12">
        <v>5</v>
      </c>
      <c r="D36" s="11">
        <v>67</v>
      </c>
      <c r="E36" s="12">
        <v>2007</v>
      </c>
      <c r="F36" s="11">
        <v>23584</v>
      </c>
    </row>
    <row r="37" spans="1:6" ht="20.399999999999999" x14ac:dyDescent="0.3">
      <c r="A37" s="12">
        <v>11</v>
      </c>
      <c r="B37" s="12" t="s">
        <v>103</v>
      </c>
      <c r="C37" s="12">
        <v>1</v>
      </c>
      <c r="D37" s="11">
        <v>67</v>
      </c>
      <c r="E37" s="12">
        <v>2007</v>
      </c>
      <c r="F37" s="11">
        <v>24303</v>
      </c>
    </row>
    <row r="38" spans="1:6" ht="20.399999999999999" x14ac:dyDescent="0.3">
      <c r="A38" s="12">
        <v>12</v>
      </c>
      <c r="B38" s="12" t="s">
        <v>104</v>
      </c>
      <c r="C38" s="12">
        <v>1</v>
      </c>
      <c r="D38" s="11">
        <v>67</v>
      </c>
      <c r="E38" s="12">
        <v>2007</v>
      </c>
      <c r="F38" s="11">
        <v>24849</v>
      </c>
    </row>
    <row r="39" spans="1:6" ht="20.399999999999999" x14ac:dyDescent="0.3">
      <c r="A39" s="12">
        <v>13</v>
      </c>
      <c r="B39" s="12" t="s">
        <v>105</v>
      </c>
      <c r="C39" s="12">
        <v>4</v>
      </c>
      <c r="D39" s="11">
        <v>72</v>
      </c>
      <c r="E39" s="12">
        <v>2016</v>
      </c>
      <c r="F39" s="11">
        <v>21749</v>
      </c>
    </row>
    <row r="40" spans="1:6" ht="20.399999999999999" x14ac:dyDescent="0.3">
      <c r="A40" s="12">
        <v>14</v>
      </c>
      <c r="B40" s="12" t="s">
        <v>106</v>
      </c>
      <c r="C40" s="12">
        <v>1</v>
      </c>
      <c r="D40" s="11">
        <v>70</v>
      </c>
      <c r="E40" s="12">
        <v>2017</v>
      </c>
      <c r="F40" s="11">
        <v>21617</v>
      </c>
    </row>
    <row r="41" spans="1:6" ht="20.399999999999999" x14ac:dyDescent="0.3">
      <c r="A41" s="12">
        <v>15</v>
      </c>
      <c r="B41" s="12" t="s">
        <v>107</v>
      </c>
      <c r="C41" s="12">
        <v>5</v>
      </c>
      <c r="D41" s="11">
        <v>312</v>
      </c>
      <c r="E41" s="12">
        <v>2013</v>
      </c>
      <c r="F41" s="11">
        <v>17505</v>
      </c>
    </row>
    <row r="42" spans="1:6" ht="20.399999999999999" x14ac:dyDescent="0.3">
      <c r="A42" s="12">
        <v>16</v>
      </c>
      <c r="B42" s="12" t="s">
        <v>239</v>
      </c>
      <c r="C42" s="12">
        <v>1</v>
      </c>
      <c r="D42" s="11">
        <v>224</v>
      </c>
      <c r="E42" s="12">
        <v>2000</v>
      </c>
      <c r="F42" s="11">
        <v>27392</v>
      </c>
    </row>
    <row r="43" spans="1:6" ht="20.399999999999999" x14ac:dyDescent="0.3">
      <c r="A43" s="12">
        <v>17</v>
      </c>
      <c r="B43" s="12" t="s">
        <v>240</v>
      </c>
      <c r="C43" s="12">
        <v>7</v>
      </c>
      <c r="D43" s="11">
        <v>533</v>
      </c>
      <c r="E43" s="12">
        <v>2000</v>
      </c>
      <c r="F43" s="11">
        <v>25247</v>
      </c>
    </row>
    <row r="44" spans="1:6" ht="20.399999999999999" x14ac:dyDescent="0.3">
      <c r="A44" s="12">
        <v>18</v>
      </c>
      <c r="B44" s="12" t="s">
        <v>241</v>
      </c>
      <c r="C44" s="12">
        <v>1</v>
      </c>
      <c r="D44" s="11">
        <v>67</v>
      </c>
      <c r="E44" s="12">
        <v>2009</v>
      </c>
      <c r="F44" s="11">
        <v>23273</v>
      </c>
    </row>
    <row r="45" spans="1:6" ht="20.399999999999999" x14ac:dyDescent="0.3">
      <c r="A45" s="12">
        <v>19</v>
      </c>
      <c r="B45" s="12" t="s">
        <v>242</v>
      </c>
      <c r="C45" s="12">
        <v>4</v>
      </c>
      <c r="D45" s="11">
        <v>67</v>
      </c>
      <c r="E45" s="12">
        <v>2009</v>
      </c>
      <c r="F45" s="11">
        <v>23067</v>
      </c>
    </row>
    <row r="46" spans="1:6" ht="20.399999999999999" x14ac:dyDescent="0.3">
      <c r="A46" s="12">
        <v>20</v>
      </c>
      <c r="B46" s="12" t="s">
        <v>243</v>
      </c>
      <c r="C46" s="12">
        <v>1</v>
      </c>
      <c r="D46" s="11">
        <v>110</v>
      </c>
      <c r="E46" s="12">
        <v>2007</v>
      </c>
      <c r="F46" s="11">
        <v>24677</v>
      </c>
    </row>
  </sheetData>
  <mergeCells count="6">
    <mergeCell ref="A25:F25"/>
    <mergeCell ref="A1:F1"/>
    <mergeCell ref="A2:F2"/>
    <mergeCell ref="A4:C4"/>
    <mergeCell ref="D4:F4"/>
    <mergeCell ref="A17:C17"/>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C30"/>
  <sheetViews>
    <sheetView rightToLeft="1" workbookViewId="0">
      <selection activeCell="F1" sqref="F1"/>
    </sheetView>
  </sheetViews>
  <sheetFormatPr defaultRowHeight="14.4" x14ac:dyDescent="0.3"/>
  <cols>
    <col min="1" max="1" width="42.6640625" customWidth="1"/>
    <col min="2" max="3" width="22.6640625" customWidth="1"/>
  </cols>
  <sheetData>
    <row r="1" spans="1:3" ht="34.950000000000003" customHeight="1" x14ac:dyDescent="0.3">
      <c r="A1" s="41" t="s">
        <v>273</v>
      </c>
      <c r="B1" s="41"/>
      <c r="C1" s="41"/>
    </row>
    <row r="2" spans="1:3" ht="19.95" customHeight="1" x14ac:dyDescent="0.3">
      <c r="A2" s="42" t="s">
        <v>274</v>
      </c>
      <c r="B2" s="42"/>
      <c r="C2" s="42"/>
    </row>
    <row r="4" spans="1:3" ht="22.05" customHeight="1" x14ac:dyDescent="0.3">
      <c r="A4" s="38" t="s">
        <v>275</v>
      </c>
      <c r="B4" s="38"/>
      <c r="C4" s="38"/>
    </row>
    <row r="5" spans="1:3" ht="21.6" x14ac:dyDescent="0.3">
      <c r="A5" s="2" t="s">
        <v>276</v>
      </c>
      <c r="B5" s="13">
        <v>4000000</v>
      </c>
    </row>
    <row r="6" spans="1:3" ht="21.6" x14ac:dyDescent="0.3">
      <c r="A6" s="2" t="s">
        <v>277</v>
      </c>
      <c r="B6" s="13">
        <v>1430000</v>
      </c>
    </row>
    <row r="7" spans="1:3" ht="20.399999999999999" x14ac:dyDescent="0.3">
      <c r="A7" s="2" t="s">
        <v>278</v>
      </c>
      <c r="B7" s="14">
        <v>0.08</v>
      </c>
    </row>
    <row r="8" spans="1:3" ht="20.399999999999999" x14ac:dyDescent="0.3">
      <c r="A8" s="2" t="s">
        <v>279</v>
      </c>
      <c r="B8" s="11">
        <v>1</v>
      </c>
    </row>
    <row r="9" spans="1:3" ht="20.399999999999999" x14ac:dyDescent="0.3">
      <c r="A9" s="2" t="s">
        <v>280</v>
      </c>
      <c r="B9" s="14">
        <v>0.12</v>
      </c>
    </row>
    <row r="10" spans="1:3" ht="21.6" x14ac:dyDescent="0.3">
      <c r="A10" s="2" t="s">
        <v>281</v>
      </c>
      <c r="B10" s="13">
        <v>20000</v>
      </c>
    </row>
    <row r="11" spans="1:3" ht="21.6" x14ac:dyDescent="0.3">
      <c r="A11" s="2" t="s">
        <v>282</v>
      </c>
      <c r="B11" s="13">
        <v>7150</v>
      </c>
    </row>
    <row r="13" spans="1:3" ht="22.05" customHeight="1" x14ac:dyDescent="0.3">
      <c r="A13" s="38" t="s">
        <v>283</v>
      </c>
      <c r="B13" s="38"/>
      <c r="C13" s="38"/>
    </row>
    <row r="14" spans="1:3" ht="20.399999999999999" x14ac:dyDescent="0.3">
      <c r="A14" s="2" t="s">
        <v>284</v>
      </c>
      <c r="B14" s="11">
        <v>14.39774896060093</v>
      </c>
    </row>
    <row r="15" spans="1:3" ht="20.399999999999999" x14ac:dyDescent="0.3">
      <c r="A15" s="2" t="s">
        <v>285</v>
      </c>
      <c r="B15" s="11">
        <v>14.31774896060093</v>
      </c>
    </row>
    <row r="16" spans="1:3" ht="20.399999999999999" x14ac:dyDescent="0.3">
      <c r="A16" s="2" t="s">
        <v>286</v>
      </c>
      <c r="B16" s="11">
        <v>1</v>
      </c>
    </row>
    <row r="17" spans="1:3" ht="20.399999999999999" x14ac:dyDescent="0.3">
      <c r="A17" s="2" t="s">
        <v>287</v>
      </c>
      <c r="B17" s="11">
        <v>1</v>
      </c>
    </row>
    <row r="18" spans="1:3" ht="21.6" x14ac:dyDescent="0.3">
      <c r="A18" s="2" t="s">
        <v>288</v>
      </c>
      <c r="B18" s="13">
        <v>2731703.7754944651</v>
      </c>
    </row>
    <row r="20" spans="1:3" ht="22.05" customHeight="1" x14ac:dyDescent="0.3">
      <c r="A20" s="38" t="s">
        <v>289</v>
      </c>
      <c r="B20" s="38"/>
      <c r="C20" s="38"/>
    </row>
    <row r="21" spans="1:3" ht="21.6" x14ac:dyDescent="0.3">
      <c r="A21" s="2" t="s">
        <v>290</v>
      </c>
      <c r="B21" s="13">
        <v>4000000</v>
      </c>
    </row>
    <row r="22" spans="1:3" ht="21.6" x14ac:dyDescent="0.3">
      <c r="A22" s="2" t="s">
        <v>291</v>
      </c>
      <c r="B22" s="13">
        <v>2731703.7754944651</v>
      </c>
    </row>
    <row r="23" spans="1:3" ht="27" x14ac:dyDescent="0.3">
      <c r="A23" s="17" t="s">
        <v>292</v>
      </c>
      <c r="B23" s="21">
        <v>4870002.0650040973</v>
      </c>
    </row>
    <row r="24" spans="1:3" ht="27" x14ac:dyDescent="0.3">
      <c r="A24" s="17" t="s">
        <v>293</v>
      </c>
      <c r="B24" s="21">
        <v>24350.010325020488</v>
      </c>
    </row>
    <row r="27" spans="1:3" ht="21.6" x14ac:dyDescent="0.3">
      <c r="A27" s="38" t="s">
        <v>294</v>
      </c>
      <c r="B27" s="38"/>
      <c r="C27" s="38"/>
    </row>
    <row r="28" spans="1:3" ht="28.05" customHeight="1" x14ac:dyDescent="0.3">
      <c r="A28" s="39" t="s">
        <v>295</v>
      </c>
      <c r="B28" s="39"/>
      <c r="C28" s="39"/>
    </row>
    <row r="29" spans="1:3" ht="28.05" customHeight="1" x14ac:dyDescent="0.3">
      <c r="A29" s="39"/>
      <c r="B29" s="39"/>
      <c r="C29" s="39"/>
    </row>
    <row r="30" spans="1:3" ht="28.05" customHeight="1" x14ac:dyDescent="0.3">
      <c r="A30" s="39"/>
      <c r="B30" s="39"/>
      <c r="C30" s="39"/>
    </row>
  </sheetData>
  <mergeCells count="7">
    <mergeCell ref="A27:C27"/>
    <mergeCell ref="A28:C30"/>
    <mergeCell ref="A1:C1"/>
    <mergeCell ref="A2:C2"/>
    <mergeCell ref="A4:C4"/>
    <mergeCell ref="A13:C13"/>
    <mergeCell ref="A20:C20"/>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25"/>
  <sheetViews>
    <sheetView rightToLeft="1" workbookViewId="0">
      <selection sqref="A1:E1"/>
    </sheetView>
  </sheetViews>
  <sheetFormatPr defaultRowHeight="14.4" x14ac:dyDescent="0.3"/>
  <cols>
    <col min="1" max="1" width="35.6640625" customWidth="1"/>
    <col min="2" max="5" width="18.6640625" customWidth="1"/>
  </cols>
  <sheetData>
    <row r="1" spans="1:5" ht="34.950000000000003" customHeight="1" x14ac:dyDescent="0.3">
      <c r="A1" s="41" t="s">
        <v>296</v>
      </c>
      <c r="B1" s="41"/>
      <c r="C1" s="41"/>
      <c r="D1" s="41"/>
      <c r="E1" s="41"/>
    </row>
    <row r="2" spans="1:5" ht="19.95" customHeight="1" x14ac:dyDescent="0.3">
      <c r="A2" s="42" t="s">
        <v>297</v>
      </c>
      <c r="B2" s="42"/>
      <c r="C2" s="42"/>
      <c r="D2" s="42"/>
      <c r="E2" s="42"/>
    </row>
    <row r="4" spans="1:5" ht="22.05" customHeight="1" x14ac:dyDescent="0.3">
      <c r="A4" s="17" t="s">
        <v>298</v>
      </c>
      <c r="B4" s="18" t="s">
        <v>299</v>
      </c>
      <c r="C4" s="18" t="s">
        <v>251</v>
      </c>
      <c r="D4" s="18" t="s">
        <v>300</v>
      </c>
      <c r="E4" s="18" t="s">
        <v>301</v>
      </c>
    </row>
    <row r="5" spans="1:5" ht="21.6" x14ac:dyDescent="0.3">
      <c r="A5" s="2" t="s">
        <v>302</v>
      </c>
      <c r="B5" s="13">
        <v>22665.195</v>
      </c>
      <c r="C5" s="13">
        <v>4533039</v>
      </c>
      <c r="D5" s="14">
        <v>0.3</v>
      </c>
      <c r="E5" s="13">
        <v>6799.5585000000001</v>
      </c>
    </row>
    <row r="6" spans="1:5" ht="21.6" x14ac:dyDescent="0.3">
      <c r="A6" s="2" t="s">
        <v>303</v>
      </c>
      <c r="B6" s="13">
        <v>10511.833333333339</v>
      </c>
      <c r="C6" s="13">
        <v>2102366.666666667</v>
      </c>
      <c r="D6" s="14">
        <v>0.2</v>
      </c>
      <c r="E6" s="13">
        <v>2102.3666666666668</v>
      </c>
    </row>
    <row r="7" spans="1:5" ht="21.6" x14ac:dyDescent="0.3">
      <c r="A7" s="2" t="s">
        <v>304</v>
      </c>
      <c r="B7" s="13">
        <v>3174.683544303798</v>
      </c>
      <c r="C7" s="13">
        <v>634936.70886075951</v>
      </c>
      <c r="D7" s="14">
        <v>0.15</v>
      </c>
      <c r="E7" s="13">
        <v>476.20253164556959</v>
      </c>
    </row>
    <row r="8" spans="1:5" ht="21.6" x14ac:dyDescent="0.3">
      <c r="A8" s="2" t="s">
        <v>305</v>
      </c>
      <c r="B8" s="13">
        <v>23583.449837021941</v>
      </c>
      <c r="C8" s="13">
        <v>4716689.9674043888</v>
      </c>
      <c r="D8" s="14">
        <v>0.15</v>
      </c>
      <c r="E8" s="13">
        <v>3537.5174755532921</v>
      </c>
    </row>
    <row r="9" spans="1:5" ht="21.6" x14ac:dyDescent="0.3">
      <c r="A9" s="2" t="s">
        <v>306</v>
      </c>
      <c r="B9" s="13">
        <v>22984.495381405111</v>
      </c>
      <c r="C9" s="13">
        <v>4596899.0762810223</v>
      </c>
      <c r="D9" s="14">
        <v>0.12</v>
      </c>
      <c r="E9" s="13">
        <v>2758.1394457686129</v>
      </c>
    </row>
    <row r="10" spans="1:5" ht="21.6" x14ac:dyDescent="0.3">
      <c r="A10" s="2" t="s">
        <v>307</v>
      </c>
      <c r="B10" s="13">
        <v>24350.010325020488</v>
      </c>
      <c r="C10" s="13">
        <v>4870002.0650040973</v>
      </c>
      <c r="D10" s="14">
        <v>0.08</v>
      </c>
      <c r="E10" s="13">
        <v>1948.0008260016391</v>
      </c>
    </row>
    <row r="12" spans="1:5" ht="21.6" x14ac:dyDescent="0.3">
      <c r="A12" s="9" t="s">
        <v>308</v>
      </c>
      <c r="D12" s="14">
        <v>1</v>
      </c>
    </row>
    <row r="13" spans="1:5" ht="27" x14ac:dyDescent="0.3">
      <c r="A13" s="44" t="s">
        <v>309</v>
      </c>
      <c r="B13" s="44"/>
      <c r="C13" s="44"/>
      <c r="D13" s="44"/>
      <c r="E13" s="21">
        <v>17621.785445635782</v>
      </c>
    </row>
    <row r="14" spans="1:5" ht="27" x14ac:dyDescent="0.3">
      <c r="A14" s="44" t="s">
        <v>310</v>
      </c>
      <c r="B14" s="44"/>
      <c r="C14" s="44"/>
      <c r="D14" s="44"/>
      <c r="E14" s="21">
        <v>3524357.089127156</v>
      </c>
    </row>
    <row r="17" spans="1:5" ht="22.05" customHeight="1" x14ac:dyDescent="0.3">
      <c r="A17" s="38" t="s">
        <v>311</v>
      </c>
      <c r="B17" s="38"/>
      <c r="C17" s="38"/>
      <c r="D17" s="38"/>
      <c r="E17" s="38"/>
    </row>
    <row r="18" spans="1:5" ht="22.05" customHeight="1" x14ac:dyDescent="0.3">
      <c r="A18" s="39" t="s">
        <v>312</v>
      </c>
      <c r="B18" s="39"/>
      <c r="C18" s="39"/>
      <c r="D18" s="39"/>
      <c r="E18" s="39"/>
    </row>
    <row r="19" spans="1:5" ht="22.05" customHeight="1" x14ac:dyDescent="0.3">
      <c r="A19" s="39"/>
      <c r="B19" s="39"/>
      <c r="C19" s="39"/>
      <c r="D19" s="39"/>
      <c r="E19" s="39"/>
    </row>
    <row r="20" spans="1:5" ht="22.05" customHeight="1" x14ac:dyDescent="0.3">
      <c r="A20" s="39"/>
      <c r="B20" s="39"/>
      <c r="C20" s="39"/>
      <c r="D20" s="39"/>
      <c r="E20" s="39"/>
    </row>
    <row r="21" spans="1:5" ht="22.05" customHeight="1" x14ac:dyDescent="0.3">
      <c r="A21" s="39"/>
      <c r="B21" s="39"/>
      <c r="C21" s="39"/>
      <c r="D21" s="39"/>
      <c r="E21" s="39"/>
    </row>
    <row r="22" spans="1:5" ht="22.05" customHeight="1" x14ac:dyDescent="0.3">
      <c r="A22" s="39"/>
      <c r="B22" s="39"/>
      <c r="C22" s="39"/>
      <c r="D22" s="39"/>
      <c r="E22" s="39"/>
    </row>
    <row r="23" spans="1:5" ht="22.05" customHeight="1" x14ac:dyDescent="0.3">
      <c r="A23" s="39"/>
      <c r="B23" s="39"/>
      <c r="C23" s="39"/>
      <c r="D23" s="39"/>
      <c r="E23" s="39"/>
    </row>
    <row r="24" spans="1:5" ht="22.05" customHeight="1" x14ac:dyDescent="0.3">
      <c r="A24" s="39"/>
      <c r="B24" s="39"/>
      <c r="C24" s="39"/>
      <c r="D24" s="39"/>
      <c r="E24" s="39"/>
    </row>
    <row r="25" spans="1:5" ht="22.05" customHeight="1" x14ac:dyDescent="0.3">
      <c r="A25" s="39"/>
      <c r="B25" s="39"/>
      <c r="C25" s="39"/>
      <c r="D25" s="39"/>
      <c r="E25" s="39"/>
    </row>
  </sheetData>
  <mergeCells count="6">
    <mergeCell ref="A18:E25"/>
    <mergeCell ref="A1:E1"/>
    <mergeCell ref="A2:E2"/>
    <mergeCell ref="A13:D13"/>
    <mergeCell ref="A14:D14"/>
    <mergeCell ref="A17:E1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18"/>
  <sheetViews>
    <sheetView rightToLeft="1" workbookViewId="0"/>
  </sheetViews>
  <sheetFormatPr defaultRowHeight="14.4" x14ac:dyDescent="0.3"/>
  <cols>
    <col min="1" max="1" width="90.6640625" customWidth="1"/>
  </cols>
  <sheetData>
    <row r="1" spans="1:1" ht="34.950000000000003" customHeight="1" x14ac:dyDescent="0.3"/>
    <row r="3" spans="1:1" ht="22.05" customHeight="1" x14ac:dyDescent="0.3">
      <c r="A3" s="15" t="s">
        <v>313</v>
      </c>
    </row>
    <row r="4" spans="1:1" ht="22.05" customHeight="1" x14ac:dyDescent="0.3">
      <c r="A4" s="15" t="s">
        <v>314</v>
      </c>
    </row>
    <row r="5" spans="1:1" ht="22.05" customHeight="1" x14ac:dyDescent="0.3">
      <c r="A5" s="15" t="s">
        <v>315</v>
      </c>
    </row>
    <row r="6" spans="1:1" ht="22.05" customHeight="1" x14ac:dyDescent="0.3">
      <c r="A6" s="15" t="s">
        <v>316</v>
      </c>
    </row>
    <row r="7" spans="1:1" ht="22.05" customHeight="1" x14ac:dyDescent="0.3">
      <c r="A7" s="15" t="s">
        <v>317</v>
      </c>
    </row>
    <row r="8" spans="1:1" ht="22.05" customHeight="1" x14ac:dyDescent="0.3">
      <c r="A8" s="15" t="s">
        <v>318</v>
      </c>
    </row>
    <row r="9" spans="1:1" ht="22.05" customHeight="1" x14ac:dyDescent="0.3">
      <c r="A9" s="15" t="s">
        <v>319</v>
      </c>
    </row>
    <row r="10" spans="1:1" ht="22.05" customHeight="1" x14ac:dyDescent="0.3">
      <c r="A10" s="15" t="s">
        <v>320</v>
      </c>
    </row>
    <row r="11" spans="1:1" ht="22.05" customHeight="1" x14ac:dyDescent="0.3">
      <c r="A11" s="15" t="s">
        <v>321</v>
      </c>
    </row>
    <row r="12" spans="1:1" ht="22.05" customHeight="1" x14ac:dyDescent="0.3">
      <c r="A12" s="15" t="s">
        <v>322</v>
      </c>
    </row>
    <row r="13" spans="1:1" ht="22.05" customHeight="1" x14ac:dyDescent="0.3">
      <c r="A13" s="15" t="s">
        <v>323</v>
      </c>
    </row>
    <row r="14" spans="1:1" ht="22.05" customHeight="1" x14ac:dyDescent="0.3">
      <c r="A14" s="15" t="s">
        <v>324</v>
      </c>
    </row>
    <row r="15" spans="1:1" ht="22.05" customHeight="1" x14ac:dyDescent="0.3">
      <c r="A15" s="15" t="s">
        <v>325</v>
      </c>
    </row>
    <row r="16" spans="1:1" ht="22.05" customHeight="1" x14ac:dyDescent="0.3">
      <c r="A16" s="15" t="s">
        <v>326</v>
      </c>
    </row>
    <row r="17" spans="1:1" ht="22.05" customHeight="1" x14ac:dyDescent="0.3">
      <c r="A17" s="15" t="s">
        <v>327</v>
      </c>
    </row>
    <row r="18" spans="1:1" ht="22.05" customHeight="1" x14ac:dyDescent="0.3">
      <c r="A18" s="15" t="s">
        <v>328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17"/>
  <sheetViews>
    <sheetView rightToLeft="1" workbookViewId="0"/>
  </sheetViews>
  <sheetFormatPr defaultRowHeight="14.4" x14ac:dyDescent="0.3"/>
  <cols>
    <col min="1" max="1" width="90.6640625" customWidth="1"/>
  </cols>
  <sheetData>
    <row r="1" spans="1:1" ht="34.950000000000003" customHeight="1" x14ac:dyDescent="0.3"/>
    <row r="3" spans="1:1" ht="25.05" customHeight="1" x14ac:dyDescent="0.3">
      <c r="A3" s="9" t="s">
        <v>329</v>
      </c>
    </row>
    <row r="5" spans="1:1" ht="28.05" customHeight="1" x14ac:dyDescent="0.3">
      <c r="A5" s="23" t="s">
        <v>330</v>
      </c>
    </row>
    <row r="6" spans="1:1" ht="28.05" customHeight="1" x14ac:dyDescent="0.3">
      <c r="A6" s="23" t="s">
        <v>331</v>
      </c>
    </row>
    <row r="7" spans="1:1" ht="28.05" customHeight="1" x14ac:dyDescent="0.3">
      <c r="A7" s="23" t="s">
        <v>332</v>
      </c>
    </row>
    <row r="8" spans="1:1" ht="28.05" customHeight="1" x14ac:dyDescent="0.3">
      <c r="A8" s="23" t="s">
        <v>333</v>
      </c>
    </row>
    <row r="9" spans="1:1" ht="28.05" customHeight="1" x14ac:dyDescent="0.3">
      <c r="A9" s="23" t="s">
        <v>334</v>
      </c>
    </row>
    <row r="10" spans="1:1" ht="28.05" customHeight="1" x14ac:dyDescent="0.3">
      <c r="A10" s="23" t="s">
        <v>335</v>
      </c>
    </row>
    <row r="11" spans="1:1" ht="28.05" customHeight="1" x14ac:dyDescent="0.3">
      <c r="A11" s="23" t="s">
        <v>336</v>
      </c>
    </row>
    <row r="12" spans="1:1" ht="28.05" customHeight="1" x14ac:dyDescent="0.3">
      <c r="A12" s="23" t="s">
        <v>337</v>
      </c>
    </row>
    <row r="13" spans="1:1" ht="28.05" customHeight="1" x14ac:dyDescent="0.3">
      <c r="A13" s="23" t="s">
        <v>338</v>
      </c>
    </row>
    <row r="14" spans="1:1" ht="28.05" customHeight="1" x14ac:dyDescent="0.3">
      <c r="A14" s="23" t="s">
        <v>339</v>
      </c>
    </row>
    <row r="17" spans="1:1" ht="20.399999999999999" x14ac:dyDescent="0.3">
      <c r="A17" s="10" t="s">
        <v>340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H25"/>
  <sheetViews>
    <sheetView rightToLeft="1" topLeftCell="A7" workbookViewId="0">
      <selection sqref="A1:H1"/>
    </sheetView>
  </sheetViews>
  <sheetFormatPr defaultRowHeight="14.4" x14ac:dyDescent="0.3"/>
  <cols>
    <col min="1" max="1" width="32.6640625" customWidth="1"/>
    <col min="2" max="2" width="20.6640625" customWidth="1"/>
    <col min="3" max="4" width="18.6640625" customWidth="1"/>
    <col min="5" max="5" width="55.6640625" customWidth="1"/>
    <col min="6" max="8" width="14.6640625" customWidth="1"/>
  </cols>
  <sheetData>
    <row r="1" spans="1:8" ht="40.049999999999997" customHeight="1" x14ac:dyDescent="0.3">
      <c r="A1" s="47" t="s">
        <v>341</v>
      </c>
      <c r="B1" s="47"/>
      <c r="C1" s="47"/>
      <c r="D1" s="47"/>
      <c r="E1" s="47"/>
      <c r="F1" s="47"/>
      <c r="G1" s="47"/>
      <c r="H1" s="47"/>
    </row>
    <row r="2" spans="1:8" ht="19.95" customHeight="1" x14ac:dyDescent="0.3">
      <c r="A2" s="42" t="s">
        <v>342</v>
      </c>
      <c r="B2" s="42"/>
      <c r="C2" s="42"/>
      <c r="D2" s="42"/>
      <c r="E2" s="42"/>
      <c r="F2" s="42"/>
      <c r="G2" s="42"/>
      <c r="H2" s="42"/>
    </row>
    <row r="4" spans="1:8" ht="23.4" x14ac:dyDescent="0.3">
      <c r="A4" s="45" t="s">
        <v>343</v>
      </c>
      <c r="B4" s="45"/>
      <c r="C4" s="45"/>
      <c r="D4" s="45"/>
    </row>
    <row r="5" spans="1:8" ht="28.05" customHeight="1" x14ac:dyDescent="0.3">
      <c r="A5" s="48" t="s">
        <v>344</v>
      </c>
      <c r="B5" s="49">
        <v>3524357.089127156</v>
      </c>
      <c r="C5" s="48" t="s">
        <v>345</v>
      </c>
      <c r="D5" s="50">
        <v>17621.785445635782</v>
      </c>
    </row>
    <row r="6" spans="1:8" ht="28.05" customHeight="1" x14ac:dyDescent="0.3">
      <c r="A6" s="48"/>
      <c r="B6" s="49"/>
      <c r="C6" s="48"/>
      <c r="D6" s="50"/>
    </row>
    <row r="7" spans="1:8" ht="23.4" x14ac:dyDescent="0.3">
      <c r="A7" s="45" t="s">
        <v>346</v>
      </c>
      <c r="B7" s="45"/>
      <c r="C7" s="45"/>
      <c r="D7" s="45"/>
    </row>
    <row r="8" spans="1:8" ht="19.95" customHeight="1" x14ac:dyDescent="0.3">
      <c r="A8" s="18" t="s">
        <v>347</v>
      </c>
      <c r="B8" s="18" t="s">
        <v>90</v>
      </c>
      <c r="C8" s="18" t="s">
        <v>300</v>
      </c>
      <c r="D8" s="18" t="s">
        <v>348</v>
      </c>
    </row>
    <row r="9" spans="1:8" ht="20.399999999999999" x14ac:dyDescent="0.3">
      <c r="A9" s="2" t="s">
        <v>302</v>
      </c>
      <c r="B9" s="24">
        <v>22665</v>
      </c>
      <c r="C9" s="14">
        <v>0.3</v>
      </c>
      <c r="D9" s="24">
        <v>6800</v>
      </c>
    </row>
    <row r="10" spans="1:8" ht="20.399999999999999" x14ac:dyDescent="0.3">
      <c r="A10" s="2" t="s">
        <v>303</v>
      </c>
      <c r="B10" s="24">
        <v>10512</v>
      </c>
      <c r="C10" s="14">
        <v>0.2</v>
      </c>
      <c r="D10" s="24">
        <v>2102</v>
      </c>
    </row>
    <row r="11" spans="1:8" ht="20.399999999999999" x14ac:dyDescent="0.3">
      <c r="A11" s="2" t="s">
        <v>304</v>
      </c>
      <c r="B11" s="24">
        <v>3175</v>
      </c>
      <c r="C11" s="14">
        <v>0.15</v>
      </c>
      <c r="D11" s="24">
        <v>476</v>
      </c>
    </row>
    <row r="12" spans="1:8" ht="20.399999999999999" x14ac:dyDescent="0.3">
      <c r="A12" s="2" t="s">
        <v>305</v>
      </c>
      <c r="B12" s="24">
        <v>23583</v>
      </c>
      <c r="C12" s="14">
        <v>0.15</v>
      </c>
      <c r="D12" s="24">
        <v>3538</v>
      </c>
    </row>
    <row r="13" spans="1:8" ht="20.399999999999999" x14ac:dyDescent="0.3">
      <c r="A13" s="2" t="s">
        <v>306</v>
      </c>
      <c r="B13" s="24">
        <v>22984</v>
      </c>
      <c r="C13" s="14">
        <v>0.12</v>
      </c>
      <c r="D13" s="24">
        <v>2758</v>
      </c>
    </row>
    <row r="14" spans="1:8" ht="20.399999999999999" x14ac:dyDescent="0.3">
      <c r="A14" s="2" t="s">
        <v>307</v>
      </c>
      <c r="B14" s="24">
        <v>24350</v>
      </c>
      <c r="C14" s="14">
        <v>0.08</v>
      </c>
      <c r="D14" s="24">
        <v>1948</v>
      </c>
    </row>
    <row r="15" spans="1:8" ht="19.95" customHeight="1" x14ac:dyDescent="0.3">
      <c r="A15" s="25" t="s">
        <v>349</v>
      </c>
      <c r="B15" s="26">
        <v>17622</v>
      </c>
    </row>
    <row r="18" spans="1:5" ht="22.05" customHeight="1" x14ac:dyDescent="0.3">
      <c r="A18" s="45" t="s">
        <v>350</v>
      </c>
      <c r="B18" s="45"/>
      <c r="C18" s="45"/>
      <c r="D18" s="45"/>
      <c r="E18" s="45"/>
    </row>
    <row r="19" spans="1:5" ht="18" customHeight="1" x14ac:dyDescent="0.3">
      <c r="A19" s="18" t="s">
        <v>89</v>
      </c>
      <c r="B19" s="18" t="s">
        <v>351</v>
      </c>
      <c r="C19" s="18" t="s">
        <v>272</v>
      </c>
      <c r="D19" s="18" t="s">
        <v>160</v>
      </c>
      <c r="E19" s="18" t="s">
        <v>352</v>
      </c>
    </row>
    <row r="20" spans="1:5" ht="20.399999999999999" x14ac:dyDescent="0.3">
      <c r="A20" s="10" t="s">
        <v>353</v>
      </c>
      <c r="B20" s="10" t="s">
        <v>354</v>
      </c>
      <c r="C20" s="24">
        <v>21956</v>
      </c>
      <c r="D20" s="24">
        <v>72</v>
      </c>
      <c r="E20" s="27" t="s">
        <v>355</v>
      </c>
    </row>
    <row r="21" spans="1:5" ht="20.399999999999999" x14ac:dyDescent="0.3">
      <c r="A21" s="10" t="s">
        <v>356</v>
      </c>
      <c r="B21" s="10" t="s">
        <v>354</v>
      </c>
      <c r="C21" s="24">
        <v>22000</v>
      </c>
      <c r="D21" s="24">
        <v>71</v>
      </c>
      <c r="E21" s="27" t="s">
        <v>355</v>
      </c>
    </row>
    <row r="22" spans="1:5" ht="20.399999999999999" x14ac:dyDescent="0.3">
      <c r="A22" s="10" t="s">
        <v>357</v>
      </c>
      <c r="B22" s="10" t="s">
        <v>354</v>
      </c>
      <c r="C22" s="24">
        <v>26208</v>
      </c>
      <c r="D22" s="24">
        <v>297</v>
      </c>
      <c r="E22" s="27" t="s">
        <v>358</v>
      </c>
    </row>
    <row r="23" spans="1:5" ht="20.399999999999999" x14ac:dyDescent="0.3">
      <c r="A23" s="10" t="s">
        <v>359</v>
      </c>
      <c r="B23" s="10" t="s">
        <v>354</v>
      </c>
      <c r="C23" s="24">
        <v>26855</v>
      </c>
      <c r="D23" s="24">
        <v>372</v>
      </c>
      <c r="E23" s="27" t="s">
        <v>358</v>
      </c>
    </row>
    <row r="24" spans="1:5" ht="20.399999999999999" x14ac:dyDescent="0.3">
      <c r="A24" s="10" t="s">
        <v>360</v>
      </c>
      <c r="B24" s="10" t="s">
        <v>354</v>
      </c>
      <c r="C24" s="24">
        <v>23584</v>
      </c>
      <c r="D24" s="24">
        <v>67</v>
      </c>
      <c r="E24" s="27" t="s">
        <v>361</v>
      </c>
    </row>
    <row r="25" spans="1:5" ht="28.05" customHeight="1" x14ac:dyDescent="0.3">
      <c r="A25" s="2" t="s">
        <v>362</v>
      </c>
      <c r="B25" s="46" t="s">
        <v>363</v>
      </c>
      <c r="C25" s="46"/>
      <c r="D25" s="46"/>
      <c r="E25" s="46"/>
    </row>
  </sheetData>
  <mergeCells count="10">
    <mergeCell ref="A7:D7"/>
    <mergeCell ref="A18:E18"/>
    <mergeCell ref="B25:E25"/>
    <mergeCell ref="A1:H1"/>
    <mergeCell ref="A2:H2"/>
    <mergeCell ref="A4:D4"/>
    <mergeCell ref="A5:A6"/>
    <mergeCell ref="B5:B6"/>
    <mergeCell ref="C5:C6"/>
    <mergeCell ref="D5:D6"/>
  </mergeCells>
  <hyperlinks>
    <hyperlink ref="E20" r:id="rId1" xr:uid="{00000000-0004-0000-0C00-000000000000}"/>
    <hyperlink ref="E21" r:id="rId2" xr:uid="{00000000-0004-0000-0C00-000001000000}"/>
    <hyperlink ref="E22" r:id="rId3" xr:uid="{00000000-0004-0000-0C00-000002000000}"/>
    <hyperlink ref="E23" r:id="rId4" xr:uid="{00000000-0004-0000-0C00-000003000000}"/>
    <hyperlink ref="E24" r:id="rId5" xr:uid="{00000000-0004-0000-0C00-000004000000}"/>
  </hyperlinks>
  <pageMargins left="0.7" right="0.7" top="0.75" bottom="0.75" header="0.3" footer="0.3"/>
  <drawing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28"/>
  <sheetViews>
    <sheetView rightToLeft="1" topLeftCell="A12" workbookViewId="0">
      <selection sqref="A1:C1"/>
    </sheetView>
  </sheetViews>
  <sheetFormatPr defaultRowHeight="14.4" x14ac:dyDescent="0.3"/>
  <cols>
    <col min="1" max="1" width="32.6640625" customWidth="1"/>
    <col min="2" max="2" width="55.6640625" customWidth="1"/>
    <col min="3" max="3" width="40.6640625" customWidth="1"/>
  </cols>
  <sheetData>
    <row r="1" spans="1:3" ht="34.950000000000003" customHeight="1" x14ac:dyDescent="0.3">
      <c r="A1" s="41" t="s">
        <v>364</v>
      </c>
      <c r="B1" s="41"/>
      <c r="C1" s="41"/>
    </row>
    <row r="2" spans="1:3" ht="19.95" customHeight="1" x14ac:dyDescent="0.3">
      <c r="A2" s="42" t="s">
        <v>365</v>
      </c>
      <c r="B2" s="42"/>
      <c r="C2" s="42"/>
    </row>
    <row r="4" spans="1:3" ht="23.4" x14ac:dyDescent="0.3">
      <c r="A4" s="51" t="s">
        <v>366</v>
      </c>
      <c r="B4" s="51"/>
      <c r="C4" s="51"/>
    </row>
    <row r="5" spans="1:3" ht="19.95" customHeight="1" x14ac:dyDescent="0.3">
      <c r="A5" s="18" t="s">
        <v>367</v>
      </c>
      <c r="B5" s="18" t="s">
        <v>368</v>
      </c>
      <c r="C5" s="18" t="s">
        <v>369</v>
      </c>
    </row>
    <row r="6" spans="1:3" ht="20.399999999999999" x14ac:dyDescent="0.3">
      <c r="A6" s="2" t="s">
        <v>370</v>
      </c>
      <c r="B6" s="27" t="s">
        <v>371</v>
      </c>
      <c r="C6" s="10" t="s">
        <v>372</v>
      </c>
    </row>
    <row r="7" spans="1:3" ht="20.399999999999999" x14ac:dyDescent="0.3">
      <c r="A7" s="2" t="s">
        <v>373</v>
      </c>
      <c r="B7" s="27" t="s">
        <v>374</v>
      </c>
      <c r="C7" s="10" t="s">
        <v>375</v>
      </c>
    </row>
    <row r="8" spans="1:3" ht="20.399999999999999" x14ac:dyDescent="0.3">
      <c r="A8" s="2" t="s">
        <v>376</v>
      </c>
      <c r="B8" s="27" t="s">
        <v>377</v>
      </c>
      <c r="C8" s="10" t="s">
        <v>378</v>
      </c>
    </row>
    <row r="9" spans="1:3" ht="20.399999999999999" x14ac:dyDescent="0.3">
      <c r="A9" s="2" t="s">
        <v>379</v>
      </c>
      <c r="B9" s="27" t="s">
        <v>380</v>
      </c>
      <c r="C9" s="10" t="s">
        <v>381</v>
      </c>
    </row>
    <row r="10" spans="1:3" ht="20.399999999999999" x14ac:dyDescent="0.3">
      <c r="A10" s="2" t="s">
        <v>382</v>
      </c>
      <c r="B10" s="27" t="s">
        <v>383</v>
      </c>
      <c r="C10" s="10" t="s">
        <v>384</v>
      </c>
    </row>
    <row r="12" spans="1:3" ht="23.4" x14ac:dyDescent="0.3">
      <c r="A12" s="51" t="s">
        <v>385</v>
      </c>
      <c r="B12" s="51"/>
      <c r="C12" s="51"/>
    </row>
    <row r="13" spans="1:3" ht="19.95" customHeight="1" x14ac:dyDescent="0.3">
      <c r="A13" s="18" t="s">
        <v>386</v>
      </c>
      <c r="B13" s="18" t="s">
        <v>387</v>
      </c>
      <c r="C13" s="18" t="s">
        <v>388</v>
      </c>
    </row>
    <row r="14" spans="1:3" ht="20.399999999999999" x14ac:dyDescent="0.3">
      <c r="A14" s="2" t="s">
        <v>389</v>
      </c>
      <c r="B14" s="27" t="s">
        <v>390</v>
      </c>
      <c r="C14" s="10" t="s">
        <v>391</v>
      </c>
    </row>
    <row r="15" spans="1:3" ht="20.399999999999999" x14ac:dyDescent="0.3">
      <c r="A15" s="2" t="s">
        <v>392</v>
      </c>
      <c r="B15" s="27" t="s">
        <v>393</v>
      </c>
      <c r="C15" s="10" t="s">
        <v>394</v>
      </c>
    </row>
    <row r="16" spans="1:3" ht="20.399999999999999" x14ac:dyDescent="0.3">
      <c r="A16" s="2" t="s">
        <v>395</v>
      </c>
      <c r="B16" s="27" t="s">
        <v>396</v>
      </c>
      <c r="C16" s="10" t="s">
        <v>397</v>
      </c>
    </row>
    <row r="17" spans="1:3" ht="20.399999999999999" x14ac:dyDescent="0.3">
      <c r="A17" s="2" t="s">
        <v>398</v>
      </c>
      <c r="B17" s="27" t="s">
        <v>399</v>
      </c>
      <c r="C17" s="10" t="s">
        <v>400</v>
      </c>
    </row>
    <row r="18" spans="1:3" ht="20.399999999999999" x14ac:dyDescent="0.3">
      <c r="A18" s="2" t="s">
        <v>401</v>
      </c>
      <c r="B18" s="27" t="s">
        <v>402</v>
      </c>
      <c r="C18" s="10" t="s">
        <v>403</v>
      </c>
    </row>
    <row r="20" spans="1:3" ht="23.4" x14ac:dyDescent="0.3">
      <c r="A20" s="51" t="s">
        <v>404</v>
      </c>
      <c r="B20" s="51"/>
      <c r="C20" s="51"/>
    </row>
    <row r="21" spans="1:3" ht="19.95" customHeight="1" x14ac:dyDescent="0.3">
      <c r="A21" s="18" t="s">
        <v>405</v>
      </c>
      <c r="B21" s="18" t="s">
        <v>406</v>
      </c>
      <c r="C21" s="18" t="s">
        <v>407</v>
      </c>
    </row>
    <row r="22" spans="1:3" ht="20.399999999999999" x14ac:dyDescent="0.3">
      <c r="A22" s="2" t="s">
        <v>408</v>
      </c>
      <c r="B22" s="10" t="s">
        <v>409</v>
      </c>
      <c r="C22" s="10" t="s">
        <v>410</v>
      </c>
    </row>
    <row r="23" spans="1:3" ht="20.399999999999999" x14ac:dyDescent="0.3">
      <c r="A23" s="2" t="s">
        <v>411</v>
      </c>
      <c r="B23" s="10" t="s">
        <v>412</v>
      </c>
      <c r="C23" s="10" t="s">
        <v>413</v>
      </c>
    </row>
    <row r="24" spans="1:3" ht="20.399999999999999" x14ac:dyDescent="0.3">
      <c r="A24" s="2" t="s">
        <v>414</v>
      </c>
      <c r="B24" s="10" t="s">
        <v>415</v>
      </c>
      <c r="C24" s="10" t="s">
        <v>416</v>
      </c>
    </row>
    <row r="25" spans="1:3" ht="20.399999999999999" x14ac:dyDescent="0.3">
      <c r="A25" s="2" t="s">
        <v>417</v>
      </c>
      <c r="B25" s="10" t="s">
        <v>418</v>
      </c>
      <c r="C25" s="10" t="s">
        <v>419</v>
      </c>
    </row>
    <row r="26" spans="1:3" ht="20.399999999999999" x14ac:dyDescent="0.3">
      <c r="A26" s="2" t="s">
        <v>420</v>
      </c>
      <c r="B26" s="10" t="s">
        <v>421</v>
      </c>
      <c r="C26" s="10" t="s">
        <v>422</v>
      </c>
    </row>
    <row r="27" spans="1:3" ht="20.399999999999999" x14ac:dyDescent="0.3">
      <c r="A27" s="2" t="s">
        <v>423</v>
      </c>
      <c r="B27" s="10" t="s">
        <v>424</v>
      </c>
      <c r="C27" s="10" t="s">
        <v>425</v>
      </c>
    </row>
    <row r="28" spans="1:3" ht="20.399999999999999" x14ac:dyDescent="0.3">
      <c r="A28" s="2" t="s">
        <v>426</v>
      </c>
      <c r="B28" s="10" t="s">
        <v>427</v>
      </c>
      <c r="C28" s="10" t="s">
        <v>428</v>
      </c>
    </row>
  </sheetData>
  <mergeCells count="5">
    <mergeCell ref="A1:C1"/>
    <mergeCell ref="A2:C2"/>
    <mergeCell ref="A4:C4"/>
    <mergeCell ref="A12:C12"/>
    <mergeCell ref="A20:C20"/>
  </mergeCells>
  <hyperlinks>
    <hyperlink ref="B6" r:id="rId1" xr:uid="{00000000-0004-0000-0D00-000000000000}"/>
    <hyperlink ref="B7" r:id="rId2" xr:uid="{00000000-0004-0000-0D00-000001000000}"/>
    <hyperlink ref="B8" r:id="rId3" xr:uid="{00000000-0004-0000-0D00-000002000000}"/>
    <hyperlink ref="B9" r:id="rId4" xr:uid="{00000000-0004-0000-0D00-000003000000}"/>
    <hyperlink ref="B10" r:id="rId5" xr:uid="{00000000-0004-0000-0D00-000004000000}"/>
    <hyperlink ref="B14" r:id="rId6" xr:uid="{00000000-0004-0000-0D00-000005000000}"/>
    <hyperlink ref="B15" r:id="rId7" xr:uid="{00000000-0004-0000-0D00-000006000000}"/>
    <hyperlink ref="B16" r:id="rId8" xr:uid="{00000000-0004-0000-0D00-000007000000}"/>
    <hyperlink ref="B17" r:id="rId9" xr:uid="{00000000-0004-0000-0D00-000008000000}"/>
    <hyperlink ref="B18" r:id="rId10" xr:uid="{00000000-0004-0000-0D00-000009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375623"/>
  </sheetPr>
  <dimension ref="A1:F23"/>
  <sheetViews>
    <sheetView rightToLeft="1" workbookViewId="0">
      <selection sqref="A1:F1"/>
    </sheetView>
  </sheetViews>
  <sheetFormatPr defaultRowHeight="14.4" x14ac:dyDescent="0.3"/>
  <cols>
    <col min="1" max="1" width="38.6640625" customWidth="1"/>
    <col min="2" max="5" width="19.6640625" customWidth="1"/>
    <col min="6" max="6" width="30.6640625" customWidth="1"/>
  </cols>
  <sheetData>
    <row r="1" spans="1:6" ht="34.950000000000003" customHeight="1" x14ac:dyDescent="0.3">
      <c r="A1" s="41" t="s">
        <v>429</v>
      </c>
      <c r="B1" s="41"/>
      <c r="C1" s="41"/>
      <c r="D1" s="41"/>
      <c r="E1" s="41"/>
      <c r="F1" s="41"/>
    </row>
    <row r="2" spans="1:6" ht="22.05" customHeight="1" x14ac:dyDescent="0.3">
      <c r="A2" s="36" t="s">
        <v>430</v>
      </c>
      <c r="B2" s="36"/>
      <c r="C2" s="36"/>
      <c r="D2" s="36"/>
      <c r="E2" s="36"/>
      <c r="F2" s="36"/>
    </row>
    <row r="4" spans="1:6" ht="22.05" customHeight="1" x14ac:dyDescent="0.3">
      <c r="A4" s="16" t="s">
        <v>431</v>
      </c>
      <c r="B4" s="16" t="s">
        <v>432</v>
      </c>
      <c r="C4" s="16" t="s">
        <v>433</v>
      </c>
      <c r="D4" s="16" t="s">
        <v>434</v>
      </c>
      <c r="E4" s="16" t="s">
        <v>435</v>
      </c>
      <c r="F4" s="16" t="s">
        <v>436</v>
      </c>
    </row>
    <row r="5" spans="1:6" ht="22.05" customHeight="1" x14ac:dyDescent="0.3">
      <c r="A5" s="2" t="s">
        <v>437</v>
      </c>
      <c r="B5" s="28">
        <v>8500</v>
      </c>
      <c r="C5" s="28">
        <v>7800</v>
      </c>
      <c r="D5" s="28">
        <v>12000</v>
      </c>
      <c r="E5" s="28">
        <v>9200</v>
      </c>
      <c r="F5" s="29"/>
    </row>
    <row r="6" spans="1:6" ht="22.05" customHeight="1" x14ac:dyDescent="0.3">
      <c r="A6" s="2" t="s">
        <v>438</v>
      </c>
      <c r="B6" s="30">
        <v>0.05</v>
      </c>
      <c r="C6" s="30">
        <v>0.08</v>
      </c>
      <c r="D6" s="30">
        <v>0.03</v>
      </c>
      <c r="E6" s="30">
        <v>0.05</v>
      </c>
      <c r="F6" s="29"/>
    </row>
    <row r="7" spans="1:6" ht="22.05" customHeight="1" x14ac:dyDescent="0.3">
      <c r="A7" s="2" t="s">
        <v>439</v>
      </c>
      <c r="B7" s="30">
        <v>0</v>
      </c>
      <c r="C7" s="30">
        <v>0.05</v>
      </c>
      <c r="D7" s="30">
        <v>-0.1</v>
      </c>
      <c r="E7" s="30">
        <v>-0.03</v>
      </c>
      <c r="F7" s="29"/>
    </row>
    <row r="8" spans="1:6" ht="22.05" customHeight="1" x14ac:dyDescent="0.3">
      <c r="A8" s="2" t="s">
        <v>440</v>
      </c>
      <c r="B8" s="30">
        <v>-0.03</v>
      </c>
      <c r="C8" s="30">
        <v>0</v>
      </c>
      <c r="D8" s="30">
        <v>0.02</v>
      </c>
      <c r="E8" s="30">
        <v>-0.02</v>
      </c>
      <c r="F8" s="29"/>
    </row>
    <row r="9" spans="1:6" ht="22.05" customHeight="1" x14ac:dyDescent="0.3">
      <c r="A9" s="2" t="s">
        <v>441</v>
      </c>
      <c r="B9" s="30">
        <v>0.02</v>
      </c>
      <c r="C9" s="30">
        <v>-0.02</v>
      </c>
      <c r="D9" s="30">
        <v>0</v>
      </c>
      <c r="E9" s="30">
        <v>0.03</v>
      </c>
      <c r="F9" s="29"/>
    </row>
    <row r="10" spans="1:6" ht="22.05" customHeight="1" x14ac:dyDescent="0.3">
      <c r="A10" s="2" t="s">
        <v>442</v>
      </c>
      <c r="B10" s="30">
        <v>0</v>
      </c>
      <c r="C10" s="30">
        <v>0</v>
      </c>
      <c r="D10" s="30">
        <v>0.02</v>
      </c>
      <c r="E10" s="30">
        <v>0</v>
      </c>
      <c r="F10" s="29"/>
    </row>
    <row r="11" spans="1:6" ht="22.05" customHeight="1" x14ac:dyDescent="0.3">
      <c r="A11" s="2" t="s">
        <v>443</v>
      </c>
      <c r="B11" s="30">
        <v>0.03</v>
      </c>
      <c r="C11" s="30">
        <v>0</v>
      </c>
      <c r="D11" s="30">
        <v>0.05</v>
      </c>
      <c r="E11" s="30">
        <v>0.02</v>
      </c>
      <c r="F11" s="29"/>
    </row>
    <row r="12" spans="1:6" ht="22.05" customHeight="1" x14ac:dyDescent="0.3">
      <c r="A12" s="17" t="s">
        <v>444</v>
      </c>
      <c r="B12" s="31">
        <f>B6+B7+B8+B9+B10+B11</f>
        <v>7.0000000000000007E-2</v>
      </c>
      <c r="C12" s="31">
        <f>C6+C7+C8+C9+C10+C11</f>
        <v>0.11</v>
      </c>
      <c r="D12" s="31">
        <f>D6+D7+D8+D9+D10+D11</f>
        <v>0.02</v>
      </c>
      <c r="E12" s="31">
        <f>E6+E7+E8+E9+E10+E11</f>
        <v>0.05</v>
      </c>
    </row>
    <row r="13" spans="1:6" ht="28.05" customHeight="1" x14ac:dyDescent="0.3">
      <c r="A13" s="17" t="s">
        <v>445</v>
      </c>
      <c r="B13" s="32">
        <f>B5*(1+B12)</f>
        <v>9095</v>
      </c>
      <c r="C13" s="32">
        <f>C5*(1+C12)</f>
        <v>8658</v>
      </c>
      <c r="D13" s="32">
        <f>D5*(1+D12)</f>
        <v>12240</v>
      </c>
      <c r="E13" s="32">
        <f>E5*(1+E12)</f>
        <v>9660</v>
      </c>
    </row>
    <row r="14" spans="1:6" ht="22.05" customHeight="1" x14ac:dyDescent="0.3">
      <c r="A14" s="2" t="s">
        <v>446</v>
      </c>
      <c r="B14" s="30">
        <v>0.3</v>
      </c>
      <c r="C14" s="30">
        <v>0.25</v>
      </c>
      <c r="D14" s="30">
        <v>0.25</v>
      </c>
      <c r="E14" s="30">
        <v>0.2</v>
      </c>
    </row>
    <row r="15" spans="1:6" ht="22.05" customHeight="1" x14ac:dyDescent="0.3">
      <c r="A15" s="2" t="s">
        <v>447</v>
      </c>
      <c r="B15" s="13">
        <f>B13*B14</f>
        <v>2728.5</v>
      </c>
      <c r="C15" s="13">
        <f>C13*C14</f>
        <v>2164.5</v>
      </c>
      <c r="D15" s="13">
        <f>D13*D14</f>
        <v>3060</v>
      </c>
      <c r="E15" s="13">
        <f>E13*E14</f>
        <v>1932</v>
      </c>
    </row>
    <row r="17" spans="1:6" ht="31.95" customHeight="1" x14ac:dyDescent="0.3">
      <c r="A17" s="17" t="s">
        <v>448</v>
      </c>
      <c r="B17" s="33">
        <f>B15+C15+D15+E15</f>
        <v>9885</v>
      </c>
      <c r="C17" s="52" t="s">
        <v>449</v>
      </c>
      <c r="D17" s="52"/>
      <c r="E17" s="52"/>
      <c r="F17" s="52"/>
    </row>
    <row r="19" spans="1:6" ht="22.05" customHeight="1" x14ac:dyDescent="0.3">
      <c r="A19" s="38" t="s">
        <v>450</v>
      </c>
      <c r="B19" s="38"/>
      <c r="C19" s="38"/>
      <c r="D19" s="38"/>
      <c r="E19" s="38"/>
      <c r="F19" s="38"/>
    </row>
    <row r="20" spans="1:6" ht="30" customHeight="1" x14ac:dyDescent="0.3">
      <c r="A20" s="2" t="s">
        <v>451</v>
      </c>
      <c r="B20" s="34" t="s">
        <v>452</v>
      </c>
      <c r="C20" s="34" t="s">
        <v>453</v>
      </c>
      <c r="D20" s="34" t="s">
        <v>454</v>
      </c>
      <c r="E20" s="34" t="s">
        <v>455</v>
      </c>
    </row>
    <row r="22" spans="1:6" ht="25.95" customHeight="1" x14ac:dyDescent="0.3">
      <c r="A22" s="53" t="s">
        <v>456</v>
      </c>
      <c r="B22" s="53"/>
      <c r="C22" s="53"/>
      <c r="D22" s="53"/>
      <c r="E22" s="53"/>
      <c r="F22" s="53"/>
    </row>
    <row r="23" spans="1:6" ht="25.95" customHeight="1" x14ac:dyDescent="0.3">
      <c r="A23" s="53"/>
      <c r="B23" s="53"/>
      <c r="C23" s="53"/>
      <c r="D23" s="53"/>
      <c r="E23" s="53"/>
      <c r="F23" s="53"/>
    </row>
  </sheetData>
  <mergeCells count="5">
    <mergeCell ref="A1:F1"/>
    <mergeCell ref="A2:F2"/>
    <mergeCell ref="C17:F17"/>
    <mergeCell ref="A19:F19"/>
    <mergeCell ref="A22:F2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الافتراضات والمدخلات</vt:lpstr>
      <vt:lpstr>التقرير</vt:lpstr>
      <vt:lpstr>مقارنات البيوع</vt:lpstr>
      <vt:lpstr>المقارنات الإيجارية</vt:lpstr>
      <vt:lpstr>طريقة التكلفة</vt:lpstr>
      <vt:lpstr>رأسمالة الدخل</vt:lpstr>
      <vt:lpstr>التحليل المكاني</vt:lpstr>
      <vt:lpstr>الانحدار المتعدد</vt:lpstr>
      <vt:lpstr>الخيارات الحقيقية</vt:lpstr>
      <vt:lpstr>توفيق النتائج</vt:lpstr>
      <vt:lpstr>محددات التقييم</vt:lpstr>
      <vt:lpstr>شهادة</vt:lpstr>
      <vt:lpstr>لوحة القيادة التنفيذية</vt:lpstr>
      <vt:lpstr>مصادر البيانات والمنهجية</vt:lpstr>
      <vt:lpstr>مصفوفة تعديل الأرض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Mo Elmahdy</cp:lastModifiedBy>
  <dcterms:created xsi:type="dcterms:W3CDTF">2026-04-12T09:53:04Z</dcterms:created>
  <dcterms:modified xsi:type="dcterms:W3CDTF">2026-04-17T00:07:02Z</dcterms:modified>
</cp:coreProperties>
</file>